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Okuyun" sheetId="1" state="visible" r:id="rId1"/>
    <sheet name="Düzeltilecekler" sheetId="2" state="visible" r:id="rId2"/>
    <sheet name="Özet" sheetId="3" state="visible" r:id="rId3"/>
    <sheet name="Tüm Liste" sheetId="4" state="visible" r:id="rId4"/>
  </sheets>
  <definedNames>
    <definedName name="_xlnm._FilterDatabase" localSheetId="1" hidden="1">'Düzeltilecekler'!$A$1:$K$119</definedName>
    <definedName name="_xlnm.Print_Titles" localSheetId="1">'Düzeltilecekler'!$1:$1</definedName>
    <definedName name="_xlnm._FilterDatabase" localSheetId="3" hidden="1">'Tüm Liste'!$A$1:$E$251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808080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5B5340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49" fontId="2" fillId="0" borderId="1" applyAlignment="1" pivotButton="0" quotePrefix="0" xfId="0">
      <alignment horizontal="left" vertical="top" wrapText="1"/>
    </xf>
    <xf numFmtId="49" fontId="2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4" fillId="2" borderId="1" pivotButton="0" quotePrefix="0" xfId="0"/>
    <xf numFmtId="0" fontId="2" fillId="0" borderId="1" pivotButton="0" quotePrefix="0" xfId="0"/>
    <xf numFmtId="0" fontId="7" fillId="0" borderId="0" pivotButton="0" quotePrefix="0" xfId="0"/>
    <xf numFmtId="49" fontId="2" fillId="0" borderId="1" pivotButton="0" quotePrefix="0" xfId="0"/>
    <xf numFmtId="0" fontId="2" fillId="9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7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18" customWidth="1" min="4" max="4"/>
    <col width="18" customWidth="1" min="5" max="5"/>
    <col width="18" customWidth="1" min="6" max="6"/>
    <col width="45" customWidth="1" min="7" max="7"/>
  </cols>
  <sheetData>
    <row r="1">
      <c r="A1" s="1" t="inlineStr">
        <is>
          <t>Dincel Çelik – Barkod Listesi Düzeltme Talebi</t>
        </is>
      </c>
    </row>
    <row r="2">
      <c r="A2" s="2" t="inlineStr">
        <is>
          <t>Kaynak: "barkod_listesi.xlsx" (250 satır). Kontrol tarihi: 04.10.2026.</t>
        </is>
      </c>
    </row>
    <row r="3">
      <c r="A3" s="2" t="inlineStr"/>
    </row>
    <row r="4">
      <c r="A4" s="3" t="inlineStr">
        <is>
          <t>Ne istiyoruz?</t>
        </is>
      </c>
    </row>
    <row r="5">
      <c r="A5" s="2" t="inlineStr">
        <is>
          <t>"Düzeltilecekler" sayfasındaki her satır, listenizde sorun bulunan bir satırdır. "Not" sütunu sorunu ve ne yapılması gerektiğini anlatır.</t>
        </is>
      </c>
    </row>
    <row r="6">
      <c r="A6" s="2" t="inlineStr">
        <is>
          <t>Lütfen yalnızca SARI sütunları doldurun:</t>
        </is>
      </c>
    </row>
    <row r="7">
      <c r="A7" s="2" t="inlineStr">
        <is>
          <t xml:space="preserve">   • Doğru Barkod: Ürünün kutusunda/etiketinde yazan, o ürüne ait 13 haneli barkod. Barkod zaten doğruysa aynen tekrar yazın.</t>
        </is>
      </c>
    </row>
    <row r="8">
      <c r="A8" s="2" t="inlineStr">
        <is>
          <t xml:space="preserve">   • Doğru Ürün Kodu: Kod boş, yanlış ya da DNC formatında değilse doğru DNC kodunu yazın (örnek: DNC-175). Doğruysa boş bırakın.</t>
        </is>
      </c>
    </row>
    <row r="9">
      <c r="A9" s="2" t="inlineStr">
        <is>
          <t xml:space="preserve">   • Üretici Açıklaması: Kısa açıklama (örnek: "aynı ürün", "üretimden kalktı", "listeden çıkarılsın").</t>
        </is>
      </c>
    </row>
    <row r="10">
      <c r="A10" s="2" t="inlineStr">
        <is>
          <t>Aynı "Grup" numarasını taşıyan satırlar aynı barkodu paylaşıyor; bunları birlikte değerlendirin.</t>
        </is>
      </c>
    </row>
    <row r="11">
      <c r="A11" s="2" t="inlineStr">
        <is>
          <t>Öncelik sırası: önce kırmızı/turuncu (GEÇERSİZ BARKOD, ORTAK BARKOD), en son gri (AYNI ÜRÜN – FARKLI ÖNEK) satırlar.</t>
        </is>
      </c>
    </row>
    <row r="12">
      <c r="A12" s="2" t="inlineStr"/>
    </row>
    <row r="13">
      <c r="A13" s="3" t="inlineStr">
        <is>
          <t>Örnek doldurulmuş satır</t>
        </is>
      </c>
    </row>
    <row r="14">
      <c r="A14" s="4" t="inlineStr">
        <is>
          <t>Sorun Türü</t>
        </is>
      </c>
      <c r="B14" s="4" t="inlineStr">
        <is>
          <t>Ürün Kodu</t>
        </is>
      </c>
      <c r="C14" s="4" t="inlineStr">
        <is>
          <t>Ürün Adı</t>
        </is>
      </c>
      <c r="D14" s="4" t="inlineStr">
        <is>
          <t>Mevcut Barkod</t>
        </is>
      </c>
      <c r="E14" s="4" t="inlineStr">
        <is>
          <t>Doğru Barkod</t>
        </is>
      </c>
      <c r="F14" s="4" t="inlineStr">
        <is>
          <t>Doğru Ürün Kodu</t>
        </is>
      </c>
      <c r="G14" s="4" t="inlineStr">
        <is>
          <t>Üretici Açıklaması</t>
        </is>
      </c>
    </row>
    <row r="15">
      <c r="A15" s="5" t="inlineStr">
        <is>
          <t>ORTAK BARKOD</t>
        </is>
      </c>
      <c r="B15" s="5" t="inlineStr">
        <is>
          <t>DNC_175</t>
        </is>
      </c>
      <c r="C15" s="5" t="inlineStr">
        <is>
          <t>DNC_175 MİRA GOLD SOS SERVİS KEPÇE</t>
        </is>
      </c>
      <c r="D15" s="5" t="inlineStr">
        <is>
          <t>8683613550715</t>
        </is>
      </c>
      <c r="E15" s="6" t="inlineStr">
        <is>
          <t>8683613550XXX</t>
        </is>
      </c>
      <c r="F15" s="6" t="inlineStr"/>
      <c r="G15" s="6" t="inlineStr">
        <is>
          <t>715 barkodu DNC-038 Pasta Maşası'na ait; Mira Gold kepçeye yeni barkod verildi.</t>
        </is>
      </c>
    </row>
    <row r="16">
      <c r="A16" s="7" t="inlineStr">
        <is>
          <t>("XXX" yalnızca örnektir; gerçek barkodu yazın.)</t>
        </is>
      </c>
    </row>
    <row r="18">
      <c r="A18" s="3" t="inlineStr">
        <is>
          <t>Sorun türleri</t>
        </is>
      </c>
    </row>
    <row r="19">
      <c r="A19" s="8" t="inlineStr">
        <is>
          <t>GEÇERSİZ BARKOD</t>
        </is>
      </c>
      <c r="B19" s="2" t="inlineStr">
        <is>
          <t>Barkod 13 haneli değil ya da son hanesi (kontrol hanesi) hatalı.</t>
        </is>
      </c>
    </row>
    <row r="20">
      <c r="A20" s="9" t="inlineStr">
        <is>
          <t>ORTAK BARKOD</t>
        </is>
      </c>
      <c r="B20" s="2" t="inlineStr">
        <is>
          <t>Aynı barkod birden fazla FARKLI ürüne verilmiş. Öncelikli düzeltilmeli.</t>
        </is>
      </c>
    </row>
    <row r="21">
      <c r="A21" s="9" t="inlineStr">
        <is>
          <t>KODA BİRDEN FAZLA BARKOD</t>
        </is>
      </c>
      <c r="B21" s="2" t="inlineStr">
        <is>
          <t>Aynı ürün koduna birden fazla barkod verilmiş.</t>
        </is>
      </c>
    </row>
    <row r="22">
      <c r="A22" s="10" t="inlineStr">
        <is>
          <t>ÖNCEKİ LİSTEYLE ÇELİŞKİ</t>
        </is>
      </c>
      <c r="B22" s="2" t="inlineStr">
        <is>
          <t>Daha önce gönderdiğiniz listedeki barkod bu listedekinden farklı.</t>
        </is>
      </c>
    </row>
    <row r="23">
      <c r="A23" s="11" t="inlineStr">
        <is>
          <t>ÜRÜN KODU YOK</t>
        </is>
      </c>
      <c r="B23" s="2" t="inlineStr">
        <is>
          <t>Ürün kodu boş.</t>
        </is>
      </c>
    </row>
    <row r="24">
      <c r="A24" s="11" t="inlineStr">
        <is>
          <t>KOD STANDART DIŞI</t>
        </is>
      </c>
      <c r="B24" s="2" t="inlineStr">
        <is>
          <t>Kod DNC formatında değil.</t>
        </is>
      </c>
    </row>
    <row r="25">
      <c r="A25" s="12" t="inlineStr">
        <is>
          <t>FARKLI FİRMA ÖNEKİ</t>
        </is>
      </c>
      <c r="B25" s="2" t="inlineStr">
        <is>
          <t>Barkod Dincel önekiyle başlamıyor (başka firmanın ürünü olabilir).</t>
        </is>
      </c>
    </row>
    <row r="26">
      <c r="A26" s="13" t="inlineStr">
        <is>
          <t>AYNI ÜRÜN – FARKLI ÖNEK</t>
        </is>
      </c>
      <c r="B26" s="2" t="inlineStr">
        <is>
          <t>DNC / COŞ_D / EFG gibi farklı ön ekli ama aynı numaralı kodlar aynı barkodu kullanıyor. Yalnızca teyit isteniyor.</t>
        </is>
      </c>
    </row>
    <row r="27">
      <c r="A27" s="13" t="inlineStr">
        <is>
          <t>TEKRAR SATIR</t>
        </is>
      </c>
      <c r="B27" s="2" t="inlineStr">
        <is>
          <t>Aynı satır listede birden fazla kez var.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24" customWidth="1" min="3" max="3"/>
    <col width="8" customWidth="1" min="4" max="4"/>
    <col width="12" customWidth="1" min="5" max="5"/>
    <col width="38" customWidth="1" min="6" max="6"/>
    <col width="16" customWidth="1" min="7" max="7"/>
    <col width="80" customWidth="1" min="8" max="8"/>
    <col width="17" customWidth="1" min="9" max="9"/>
    <col width="15" customWidth="1" min="10" max="10"/>
    <col width="40" customWidth="1" min="11" max="11"/>
  </cols>
  <sheetData>
    <row r="1">
      <c r="A1" s="14" t="inlineStr">
        <is>
          <t>No</t>
        </is>
      </c>
      <c r="B1" s="14" t="inlineStr">
        <is>
          <t>Grup</t>
        </is>
      </c>
      <c r="C1" s="14" t="inlineStr">
        <is>
          <t>Sorun Türü</t>
        </is>
      </c>
      <c r="D1" s="14" t="inlineStr">
        <is>
          <t>Excel Satırı</t>
        </is>
      </c>
      <c r="E1" s="14" t="inlineStr">
        <is>
          <t>Ürün Kodu</t>
        </is>
      </c>
      <c r="F1" s="14" t="inlineStr">
        <is>
          <t>Ürün Adı</t>
        </is>
      </c>
      <c r="G1" s="14" t="inlineStr">
        <is>
          <t>Mevcut Barkod</t>
        </is>
      </c>
      <c r="H1" s="14" t="inlineStr">
        <is>
          <t>Not (ne yapılmalı)</t>
        </is>
      </c>
      <c r="I1" s="14" t="inlineStr">
        <is>
          <t>Doğru Barkod</t>
        </is>
      </c>
      <c r="J1" s="14" t="inlineStr">
        <is>
          <t>Doğru Ürün Kodu</t>
        </is>
      </c>
      <c r="K1" s="14" t="inlineStr">
        <is>
          <t>Üretici Açıklaması</t>
        </is>
      </c>
    </row>
    <row r="2">
      <c r="A2" s="15" t="n">
        <v>1</v>
      </c>
      <c r="B2" s="15" t="inlineStr">
        <is>
          <t>B18</t>
        </is>
      </c>
      <c r="C2" s="16" t="inlineStr">
        <is>
          <t>GEÇERSİZ BARKOD
AYNI ÜRÜN – FARKLI ÖNEK</t>
        </is>
      </c>
      <c r="D2" s="15" t="n">
        <v>33</v>
      </c>
      <c r="E2" s="17" t="inlineStr">
        <is>
          <t>COŞ_D160</t>
        </is>
      </c>
      <c r="F2" s="17" t="inlineStr">
        <is>
          <t>COŞ_D 160 OKYANUS SOS SERVİS KEPÇE</t>
        </is>
      </c>
      <c r="G2" s="18" t="inlineStr">
        <is>
          <t>8683613550547</t>
        </is>
      </c>
      <c r="H2" s="17" t="inlineStr">
        <is>
          <t>• Bu barkod DNC_160 ile ortak. Kodlar aynı numarayı taşıyor; aynı ürünün farklı ön ekli kodu olduğunu düşünüyoruz. Doğruysa 'Üretici Açıklaması'na 'aynı ürün' yazın; farklı ürünlerse her birine ayrı barkod verin.
• Son hane (kontrol hanesi) hatalı; bu numara geçerli bir EAN-13 barkod değil, okuyucular reddedebilir. İlk 12 haneye göre son hane 8 olmalı (8683613550548), ancak 8683613550548 listede DNC_132 için kullanılıyor. Doğru barkodu yazın.</t>
        </is>
      </c>
      <c r="I2" s="19" t="n"/>
      <c r="J2" s="19" t="n"/>
      <c r="K2" s="19" t="n"/>
    </row>
    <row r="3">
      <c r="A3" s="15" t="n">
        <v>2</v>
      </c>
      <c r="B3" s="15" t="inlineStr">
        <is>
          <t>B18</t>
        </is>
      </c>
      <c r="C3" s="16" t="inlineStr">
        <is>
          <t>GEÇERSİZ BARKOD
AYNI ÜRÜN – FARKLI ÖNEK</t>
        </is>
      </c>
      <c r="D3" s="15" t="n">
        <v>171</v>
      </c>
      <c r="E3" s="17" t="inlineStr">
        <is>
          <t>DNC_160</t>
        </is>
      </c>
      <c r="F3" s="17" t="inlineStr">
        <is>
          <t>DNC_160 OKYANUS SOS SERVİS KEPÇE</t>
        </is>
      </c>
      <c r="G3" s="18" t="inlineStr">
        <is>
          <t>8683613550547</t>
        </is>
      </c>
      <c r="H3" s="17" t="inlineStr">
        <is>
          <t>• Bu barkod COŞ_D160 ile ortak. Kodlar aynı numarayı taşıyor; aynı ürünün farklı ön ekli kodu olduğunu düşünüyoruz. Doğruysa 'Üretici Açıklaması'na 'aynı ürün' yazın; farklı ürünlerse her birine ayrı barkod verin.
• Son hane (kontrol hanesi) hatalı; bu numara geçerli bir EAN-13 barkod değil, okuyucular reddedebilir. İlk 12 haneye göre son hane 8 olmalı (8683613550548), ancak 8683613550548 listede DNC_132 için kullanılıyor. Doğru barkodu yazın.</t>
        </is>
      </c>
      <c r="I3" s="19" t="n"/>
      <c r="J3" s="19" t="n"/>
      <c r="K3" s="19" t="n"/>
    </row>
    <row r="4">
      <c r="A4" s="15" t="n">
        <v>3</v>
      </c>
      <c r="B4" s="15" t="inlineStr"/>
      <c r="C4" s="16" t="inlineStr">
        <is>
          <t>GEÇERSİZ BARKOD
FARKLI FİRMA ÖNEKİ</t>
        </is>
      </c>
      <c r="D4" s="15" t="n">
        <v>104</v>
      </c>
      <c r="E4" s="17" t="inlineStr">
        <is>
          <t>LRS_002</t>
        </is>
      </c>
      <c r="F4" s="17" t="inlineStr">
        <is>
          <t>LRS 002</t>
        </is>
      </c>
      <c r="G4" s="18" t="inlineStr">
        <is>
          <t>4386543445025</t>
        </is>
      </c>
      <c r="H4" s="17" t="inlineStr">
        <is>
          <t>• Son hane (kontrol hanesi) hatalı; bu numara geçerli bir EAN-13 barkod değil, okuyucular reddedebilir. İlk 12 haneye göre son hane 4 olmalı (4386543445024). Doğru barkodu yazın.
• Barkod Dincel'in barkod önekiyle (868361355… / 868358165…) başlamıyor; başka bir firmanın ürünü olabilir. Bu ürün listede kalmalı mı, belirtin.</t>
        </is>
      </c>
      <c r="I4" s="19" t="n"/>
      <c r="J4" s="19" t="n"/>
      <c r="K4" s="19" t="n"/>
    </row>
    <row r="5">
      <c r="A5" s="15" t="n">
        <v>4</v>
      </c>
      <c r="B5" s="15" t="inlineStr"/>
      <c r="C5" s="16" t="inlineStr">
        <is>
          <t>GEÇERSİZ BARKOD</t>
        </is>
      </c>
      <c r="D5" s="15" t="n">
        <v>178</v>
      </c>
      <c r="E5" s="17" t="inlineStr">
        <is>
          <t>DNC_170</t>
        </is>
      </c>
      <c r="F5" s="17" t="inlineStr">
        <is>
          <t>DNC_170 OKYANUS SOS ÇATAL TİTANİUM</t>
        </is>
      </c>
      <c r="G5" s="18" t="inlineStr">
        <is>
          <t>86836135500777</t>
        </is>
      </c>
      <c r="H5" s="17" t="inlineStr">
        <is>
          <t>Barkod 14 haneli; EAN-13 barkod 13 haneli olmalı. Muhtemelen bir hane fazla/eksik yazılmış. Doğru barkodu yazın.</t>
        </is>
      </c>
      <c r="I5" s="19" t="n"/>
      <c r="J5" s="19" t="n"/>
      <c r="K5" s="19" t="n"/>
    </row>
    <row r="6">
      <c r="A6" s="15" t="n">
        <v>5</v>
      </c>
      <c r="B6" s="15" t="inlineStr"/>
      <c r="C6" s="16" t="inlineStr">
        <is>
          <t>GEÇERSİZ BARKOD</t>
        </is>
      </c>
      <c r="D6" s="15" t="n">
        <v>170</v>
      </c>
      <c r="E6" s="17" t="inlineStr">
        <is>
          <t>DNC_146</t>
        </is>
      </c>
      <c r="F6" s="17" t="inlineStr">
        <is>
          <t>DNC_146 OKYANUS SOS SERVİS SETİ SADE</t>
        </is>
      </c>
      <c r="G6" s="18" t="inlineStr">
        <is>
          <t>86836135508142</t>
        </is>
      </c>
      <c r="H6" s="17" t="inlineStr">
        <is>
          <t>Barkod 14 haneli; EAN-13 barkod 13 haneli olmalı. Muhtemelen bir hane fazla/eksik yazılmış. Doğru barkodu yazın.</t>
        </is>
      </c>
      <c r="I6" s="19" t="n"/>
      <c r="J6" s="19" t="n"/>
      <c r="K6" s="19" t="n"/>
    </row>
    <row r="7">
      <c r="A7" s="15" t="n">
        <v>6</v>
      </c>
      <c r="B7" s="15" t="inlineStr">
        <is>
          <t>B01</t>
        </is>
      </c>
      <c r="C7" s="20" t="inlineStr">
        <is>
          <t>ORTAK BARKOD</t>
        </is>
      </c>
      <c r="D7" s="15" t="n">
        <v>189</v>
      </c>
      <c r="E7" s="17" t="inlineStr">
        <is>
          <t>DNC_001</t>
        </is>
      </c>
      <c r="F7" s="17" t="inlineStr">
        <is>
          <t>DNC-001 PLATİN YEMEK KAŞIK</t>
        </is>
      </c>
      <c r="G7" s="18" t="inlineStr">
        <is>
          <t>8683581657003</t>
        </is>
      </c>
      <c r="H7" s="17" t="inlineStr">
        <is>
          <t>Bu barkod farklı ürünlerde de kullanılmış: DNC_077 (DNC-077 OKYANUS 72 PRÇ ÇKB SET). Bir barkod yalnızca tek bir ürüne ait olmalı. Bu ürünün kutusundaki/etiketindeki gerçek barkodu yazın; bu barkod başka bir ürüne aitse bu ürüne yeni barkod verin.</t>
        </is>
      </c>
      <c r="I7" s="19" t="n"/>
      <c r="J7" s="19" t="n"/>
      <c r="K7" s="19" t="n"/>
    </row>
    <row r="8">
      <c r="A8" s="15" t="n">
        <v>7</v>
      </c>
      <c r="B8" s="15" t="inlineStr">
        <is>
          <t>B01</t>
        </is>
      </c>
      <c r="C8" s="20" t="inlineStr">
        <is>
          <t>ORTAK BARKOD</t>
        </is>
      </c>
      <c r="D8" s="15" t="n">
        <v>155</v>
      </c>
      <c r="E8" s="17" t="inlineStr">
        <is>
          <t>DNC_077</t>
        </is>
      </c>
      <c r="F8" s="17" t="inlineStr">
        <is>
          <t>DNC-077 OKYANUS 72 PRÇ ÇKB SET</t>
        </is>
      </c>
      <c r="G8" s="18" t="inlineStr">
        <is>
          <t>8683581657003</t>
        </is>
      </c>
      <c r="H8" s="17" t="inlineStr">
        <is>
          <t>Bu barkod farklı ürünlerde de kullanılmış: DNC_001 (DNC-001 PLATİN YEMEK KAŞIK). Bir barkod yalnızca tek bir ürüne ait olmalı. Bu ürünün kutusundaki/etiketindeki gerçek barkodu yazın; bu barkod başka bir ürüne aitse bu ürüne yeni barkod verin.</t>
        </is>
      </c>
      <c r="I8" s="19" t="n"/>
      <c r="J8" s="19" t="n"/>
      <c r="K8" s="19" t="n"/>
    </row>
    <row r="9">
      <c r="A9" s="15" t="n">
        <v>8</v>
      </c>
      <c r="B9" s="15" t="inlineStr">
        <is>
          <t>B04</t>
        </is>
      </c>
      <c r="C9" s="20" t="inlineStr">
        <is>
          <t>ORTAK BARKOD</t>
        </is>
      </c>
      <c r="D9" s="15" t="n">
        <v>214</v>
      </c>
      <c r="E9" s="17" t="inlineStr">
        <is>
          <t>DNC_026</t>
        </is>
      </c>
      <c r="F9" s="17" t="inlineStr">
        <is>
          <t>DNC-026PLATİN 36 PRÇ MAT TİTANİUM SET</t>
        </is>
      </c>
      <c r="G9" s="18" t="inlineStr">
        <is>
          <t>8683581657942</t>
        </is>
      </c>
      <c r="H9" s="17" t="inlineStr">
        <is>
          <t>Bu barkod farklı ürünlerde de kullanılmış: DNC_117 (DNC-117 6'LI  LÜX ÇAY KAŞIK). Bir barkod yalnızca tek bir ürüne ait olmalı. Bu ürünün kutusundaki/etiketindeki gerçek barkodu yazın; bu barkod başka bir ürüne aitse bu ürüne yeni barkod verin.</t>
        </is>
      </c>
      <c r="I9" s="19" t="n"/>
      <c r="J9" s="19" t="n"/>
      <c r="K9" s="19" t="n"/>
    </row>
    <row r="10">
      <c r="A10" s="15" t="n">
        <v>9</v>
      </c>
      <c r="B10" s="15" t="inlineStr">
        <is>
          <t>B04</t>
        </is>
      </c>
      <c r="C10" s="20" t="inlineStr">
        <is>
          <t>ORTAK BARKOD</t>
        </is>
      </c>
      <c r="D10" s="15" t="n">
        <v>141</v>
      </c>
      <c r="E10" s="17" t="inlineStr">
        <is>
          <t>DNC_117</t>
        </is>
      </c>
      <c r="F10" s="17" t="inlineStr">
        <is>
          <t>DNC-117 6'LI  LÜX ÇAY KAŞIK</t>
        </is>
      </c>
      <c r="G10" s="18" t="inlineStr">
        <is>
          <t>8683581657942</t>
        </is>
      </c>
      <c r="H10" s="17" t="inlineStr">
        <is>
          <t>Bu barkod farklı ürünlerde de kullanılmış: DNC_026 (DNC-026PLATİN 36 PRÇ MAT TİTANİUM SET). Bir barkod yalnızca tek bir ürüne ait olmalı. Bu ürünün kutusundaki/etiketindeki gerçek barkodu yazın; bu barkod başka bir ürüne aitse bu ürüne yeni barkod verin.</t>
        </is>
      </c>
      <c r="I10" s="19" t="n"/>
      <c r="J10" s="19" t="n"/>
      <c r="K10" s="19" t="n"/>
    </row>
    <row r="11">
      <c r="A11" s="15" t="n">
        <v>10</v>
      </c>
      <c r="B11" s="15" t="inlineStr">
        <is>
          <t>B06</t>
        </is>
      </c>
      <c r="C11" s="20" t="inlineStr">
        <is>
          <t>ORTAK BARKOD
KODA BİRDEN FAZLA BARKOD</t>
        </is>
      </c>
      <c r="D11" s="15" t="n">
        <v>143</v>
      </c>
      <c r="E11" s="17" t="inlineStr">
        <is>
          <t>DNC_119</t>
        </is>
      </c>
      <c r="F11" s="17" t="inlineStr">
        <is>
          <t>DNC-119 1 DZ ZEYN LÜX ÇAY KAŞIK</t>
        </is>
      </c>
      <c r="G11" s="18" t="inlineStr">
        <is>
          <t>8683581657980</t>
        </is>
      </c>
      <c r="H11" s="17" t="inlineStr">
        <is>
          <t>• Bu barkod farklı ürünlerde de kullanılmış: DNC_122 (DNC_122 6'LI MİDYE GOLD (ALTIN)). Bir barkod yalnızca tek bir ürüne ait olmalı. Bu ürünün kutusundaki/etiketindeki gerçek barkodu yazın; bu barkod başka bir ürüne aitse bu ürüne yeni barkod verin.
• DNC-119 koduna listede 2 farklı barkod verilmiş: 8683581657607, 8683581657980. Bu kodun doğru barkodu hangisi? Diğer barkod hangi ürüne aitse belirtin.</t>
        </is>
      </c>
      <c r="I11" s="19" t="n"/>
      <c r="J11" s="19" t="n"/>
      <c r="K11" s="19" t="n"/>
    </row>
    <row r="12">
      <c r="A12" s="15" t="n">
        <v>11</v>
      </c>
      <c r="B12" s="15" t="inlineStr">
        <is>
          <t>B06</t>
        </is>
      </c>
      <c r="C12" s="20" t="inlineStr">
        <is>
          <t>ORTAK BARKOD</t>
        </is>
      </c>
      <c r="D12" s="15" t="n">
        <v>133</v>
      </c>
      <c r="E12" s="17" t="inlineStr">
        <is>
          <t>DNC_122</t>
        </is>
      </c>
      <c r="F12" s="17" t="inlineStr">
        <is>
          <t>DNC_122 6'LI MİDYE GOLD (ALTIN)</t>
        </is>
      </c>
      <c r="G12" s="18" t="inlineStr">
        <is>
          <t>8683581657980</t>
        </is>
      </c>
      <c r="H12" s="17" t="inlineStr">
        <is>
          <t>Bu barkod farklı ürünlerde de kullanılmış: DNC_119 (DNC-119 1 DZ ZEYN LÜX ÇAY KAŞIK). Bir barkod yalnızca tek bir ürüne ait olmalı. Bu ürünün kutusundaki/etiketindeki gerçek barkodu yazın; bu barkod başka bir ürüne aitse bu ürüne yeni barkod verin.</t>
        </is>
      </c>
      <c r="I12" s="19" t="n"/>
      <c r="J12" s="19" t="n"/>
      <c r="K12" s="19" t="n"/>
    </row>
    <row r="13">
      <c r="A13" s="15" t="n">
        <v>12</v>
      </c>
      <c r="B13" s="15" t="inlineStr">
        <is>
          <t>B07</t>
        </is>
      </c>
      <c r="C13" s="20" t="inlineStr">
        <is>
          <t>ORTAK BARKOD</t>
        </is>
      </c>
      <c r="D13" s="15" t="n">
        <v>222</v>
      </c>
      <c r="E13" s="17" t="inlineStr">
        <is>
          <t>DNC_089</t>
        </is>
      </c>
      <c r="F13" s="17" t="inlineStr">
        <is>
          <t>DNC-089 6'LI PLATİN YEMEK KAŞIK</t>
        </is>
      </c>
      <c r="G13" s="18" t="inlineStr">
        <is>
          <t>8683613550005</t>
        </is>
      </c>
      <c r="H13" s="17" t="inlineStr">
        <is>
          <t>Bu barkod farklı ürünlerde de kullanılmış: DNC_207 (DNC_207  5,Lİ GOLD BLACK SERVİS SET). Bir barkod yalnızca tek bir ürüne ait olmalı. Bu ürünün kutusundaki/etiketindeki gerçek barkodu yazın; bu barkod başka bir ürüne aitse bu ürüne yeni barkod verin.</t>
        </is>
      </c>
      <c r="I13" s="19" t="n"/>
      <c r="J13" s="19" t="n"/>
      <c r="K13" s="19" t="n"/>
    </row>
    <row r="14">
      <c r="A14" s="15" t="n">
        <v>13</v>
      </c>
      <c r="B14" s="15" t="inlineStr">
        <is>
          <t>B07</t>
        </is>
      </c>
      <c r="C14" s="20" t="inlineStr">
        <is>
          <t>ORTAK BARKOD</t>
        </is>
      </c>
      <c r="D14" s="15" t="n">
        <v>24</v>
      </c>
      <c r="E14" s="17" t="inlineStr">
        <is>
          <t>DNC_207</t>
        </is>
      </c>
      <c r="F14" s="17" t="inlineStr">
        <is>
          <t>DNC_207  5,Lİ GOLD BLACK SERVİS SET</t>
        </is>
      </c>
      <c r="G14" s="18" t="inlineStr">
        <is>
          <t>8683613550005</t>
        </is>
      </c>
      <c r="H14" s="17" t="inlineStr">
        <is>
          <t>Bu barkod farklı ürünlerde de kullanılmış: DNC_089 (DNC-089 6'LI PLATİN YEMEK KAŞIK). Bir barkod yalnızca tek bir ürüne ait olmalı. Bu ürünün kutusundaki/etiketindeki gerçek barkodu yazın; bu barkod başka bir ürüne aitse bu ürüne yeni barkod verin.</t>
        </is>
      </c>
      <c r="I14" s="19" t="n"/>
      <c r="J14" s="19" t="n"/>
      <c r="K14" s="19" t="n"/>
    </row>
    <row r="15">
      <c r="A15" s="15" t="n">
        <v>14</v>
      </c>
      <c r="B15" s="15" t="inlineStr">
        <is>
          <t>B08</t>
        </is>
      </c>
      <c r="C15" s="20" t="inlineStr">
        <is>
          <t>ORTAK BARKOD</t>
        </is>
      </c>
      <c r="D15" s="15" t="n">
        <v>223</v>
      </c>
      <c r="E15" s="17" t="inlineStr">
        <is>
          <t>DNC_090</t>
        </is>
      </c>
      <c r="F15" s="17" t="inlineStr">
        <is>
          <t>DNC-090 6,LI PLATİN YEMEK ÇATAL</t>
        </is>
      </c>
      <c r="G15" s="18" t="inlineStr">
        <is>
          <t>8683613550012</t>
        </is>
      </c>
      <c r="H15" s="17" t="inlineStr">
        <is>
          <t>Bu barkod farklı ürünlerde de kullanılmış: DNC_208 (DNC_208  5,Lİ MAT GOLD SERVİS SET). Bir barkod yalnızca tek bir ürüne ait olmalı. Bu ürünün kutusundaki/etiketindeki gerçek barkodu yazın; bu barkod başka bir ürüne aitse bu ürüne yeni barkod verin.</t>
        </is>
      </c>
      <c r="I15" s="19" t="n"/>
      <c r="J15" s="19" t="n"/>
      <c r="K15" s="19" t="n"/>
    </row>
    <row r="16">
      <c r="A16" s="15" t="n">
        <v>15</v>
      </c>
      <c r="B16" s="15" t="inlineStr">
        <is>
          <t>B08</t>
        </is>
      </c>
      <c r="C16" s="20" t="inlineStr">
        <is>
          <t>ORTAK BARKOD</t>
        </is>
      </c>
      <c r="D16" s="15" t="n">
        <v>25</v>
      </c>
      <c r="E16" s="17" t="inlineStr">
        <is>
          <t>DNC_208</t>
        </is>
      </c>
      <c r="F16" s="17" t="inlineStr">
        <is>
          <t>DNC_208  5,Lİ MAT GOLD SERVİS SET</t>
        </is>
      </c>
      <c r="G16" s="18" t="inlineStr">
        <is>
          <t>8683613550012</t>
        </is>
      </c>
      <c r="H16" s="17" t="inlineStr">
        <is>
          <t>Bu barkod farklı ürünlerde de kullanılmış: DNC_090 (DNC-090 6,LI PLATİN YEMEK ÇATAL). Bir barkod yalnızca tek bir ürüne ait olmalı. Bu ürünün kutusundaki/etiketindeki gerçek barkodu yazın; bu barkod başka bir ürüne aitse bu ürüne yeni barkod verin.</t>
        </is>
      </c>
      <c r="I16" s="19" t="n"/>
      <c r="J16" s="19" t="n"/>
      <c r="K16" s="19" t="n"/>
    </row>
    <row r="17">
      <c r="A17" s="15" t="n">
        <v>16</v>
      </c>
      <c r="B17" s="15" t="inlineStr">
        <is>
          <t>B09</t>
        </is>
      </c>
      <c r="C17" s="20" t="inlineStr">
        <is>
          <t>ORTAK BARKOD</t>
        </is>
      </c>
      <c r="D17" s="15" t="n">
        <v>227</v>
      </c>
      <c r="E17" s="17" t="inlineStr">
        <is>
          <t>DNC_094</t>
        </is>
      </c>
      <c r="F17" s="17" t="inlineStr">
        <is>
          <t>DNC-094 3,LÜ PLATİN YEMEK BIÇAK</t>
        </is>
      </c>
      <c r="G17" s="18" t="inlineStr">
        <is>
          <t>8683613550029</t>
        </is>
      </c>
      <c r="H17" s="17" t="inlineStr">
        <is>
          <t>Bu barkod farklı ürünlerde de kullanılmış: DNC_209 (DNC_209 ZERAFERT 5,Lİ ANTİK  GOLD SERVİS SET); EFG_209 (EFG_209  5,Lİ ZERAFET ANTİK  GOLD SERVİS SET). Bir barkod yalnızca tek bir ürüne ait olmalı. Bu ürünün kutusundaki/etiketindeki gerçek barkodu yazın; bu barkod başka bir ürüne aitse bu ürüne yeni barkod verin.</t>
        </is>
      </c>
      <c r="I17" s="19" t="n"/>
      <c r="J17" s="19" t="n"/>
      <c r="K17" s="19" t="n"/>
    </row>
    <row r="18">
      <c r="A18" s="15" t="n">
        <v>17</v>
      </c>
      <c r="B18" s="15" t="inlineStr">
        <is>
          <t>B09</t>
        </is>
      </c>
      <c r="C18" s="20" t="inlineStr">
        <is>
          <t>ORTAK BARKOD</t>
        </is>
      </c>
      <c r="D18" s="15" t="n">
        <v>26</v>
      </c>
      <c r="E18" s="17" t="inlineStr">
        <is>
          <t>DNC_209</t>
        </is>
      </c>
      <c r="F18" s="17" t="inlineStr">
        <is>
          <t>DNC_209 ZERAFERT 5,Lİ ANTİK  GOLD SERVİS SET</t>
        </is>
      </c>
      <c r="G18" s="18" t="inlineStr">
        <is>
          <t>8683613550029</t>
        </is>
      </c>
      <c r="H18" s="17" t="inlineStr">
        <is>
          <t>Bu barkod farklı ürünlerde de kullanılmış: DNC_094 (DNC-094 3,LÜ PLATİN YEMEK BIÇAK). Bir barkod yalnızca tek bir ürüne ait olmalı. Bu ürünün kutusundaki/etiketindeki gerçek barkodu yazın; bu barkod başka bir ürüne aitse bu ürüne yeni barkod verin. (EFG_209 aynı ürünün farklı ön ekli kodu olarak değerlendirildi.)</t>
        </is>
      </c>
      <c r="I18" s="19" t="n"/>
      <c r="J18" s="19" t="n"/>
      <c r="K18" s="19" t="n"/>
    </row>
    <row r="19">
      <c r="A19" s="15" t="n">
        <v>18</v>
      </c>
      <c r="B19" s="15" t="inlineStr">
        <is>
          <t>B09</t>
        </is>
      </c>
      <c r="C19" s="20" t="inlineStr">
        <is>
          <t>ORTAK BARKOD</t>
        </is>
      </c>
      <c r="D19" s="15" t="n">
        <v>56</v>
      </c>
      <c r="E19" s="17" t="inlineStr">
        <is>
          <t>EFG_209</t>
        </is>
      </c>
      <c r="F19" s="17" t="inlineStr">
        <is>
          <t>EFG_209  5,Lİ ZERAFET ANTİK  GOLD SERVİS SET</t>
        </is>
      </c>
      <c r="G19" s="18" t="inlineStr">
        <is>
          <t>8683613550029</t>
        </is>
      </c>
      <c r="H19" s="17" t="inlineStr">
        <is>
          <t>Bu barkod farklı ürünlerde de kullanılmış: DNC_094 (DNC-094 3,LÜ PLATİN YEMEK BIÇAK). Bir barkod yalnızca tek bir ürüne ait olmalı. Bu ürünün kutusundaki/etiketindeki gerçek barkodu yazın; bu barkod başka bir ürüne aitse bu ürüne yeni barkod verin. (DNC_209 aynı ürünün farklı ön ekli kodu olarak değerlendirildi.)</t>
        </is>
      </c>
      <c r="I19" s="19" t="n"/>
      <c r="J19" s="19" t="n"/>
      <c r="K19" s="19" t="n"/>
    </row>
    <row r="20">
      <c r="A20" s="15" t="n">
        <v>19</v>
      </c>
      <c r="B20" s="15" t="inlineStr">
        <is>
          <t>B10</t>
        </is>
      </c>
      <c r="C20" s="20" t="inlineStr">
        <is>
          <t>ORTAK BARKOD</t>
        </is>
      </c>
      <c r="D20" s="15" t="n">
        <v>37</v>
      </c>
      <c r="E20" s="17" t="inlineStr">
        <is>
          <t>COŞ_D181</t>
        </is>
      </c>
      <c r="F20" s="17" t="inlineStr">
        <is>
          <t>COŞ_D 181 ORKİDE ÇAY KAŞIK 6,LI SADE</t>
        </is>
      </c>
      <c r="G20" s="18" t="inlineStr">
        <is>
          <t>8683613550036</t>
        </is>
      </c>
      <c r="H20" s="17" t="inlineStr">
        <is>
          <t>Bu barkod farklı ürünlerde de kullanılmış: DNC_092 (DNC-092 6,LI PLATİN TATLI KAŞIK). Bir barkod yalnızca tek bir ürüne ait olmalı. Bu ürünün kutusundaki/etiketindeki gerçek barkodu yazın; bu barkod başka bir ürüne aitse bu ürüne yeni barkod verin. (DNC_181 aynı ürünün farklı ön ekli kodu olarak değerlendirildi.)</t>
        </is>
      </c>
      <c r="I20" s="19" t="n"/>
      <c r="J20" s="19" t="n"/>
      <c r="K20" s="19" t="n"/>
    </row>
    <row r="21">
      <c r="A21" s="15" t="n">
        <v>20</v>
      </c>
      <c r="B21" s="15" t="inlineStr">
        <is>
          <t>B10</t>
        </is>
      </c>
      <c r="C21" s="20" t="inlineStr">
        <is>
          <t>ORTAK BARKOD</t>
        </is>
      </c>
      <c r="D21" s="15" t="n">
        <v>225</v>
      </c>
      <c r="E21" s="17" t="inlineStr">
        <is>
          <t>DNC_092</t>
        </is>
      </c>
      <c r="F21" s="17" t="inlineStr">
        <is>
          <t>DNC-092 6,LI PLATİN TATLI KAŞIK</t>
        </is>
      </c>
      <c r="G21" s="18" t="inlineStr">
        <is>
          <t>8683613550036</t>
        </is>
      </c>
      <c r="H21" s="17" t="inlineStr">
        <is>
          <t>Bu barkod farklı ürünlerde de kullanılmış: COŞ_D181 (COŞ_D 181 ORKİDE ÇAY KAŞIK 6,LI SADE); DNC_181 (DNC_181 ORKİDE ÇAY KAŞIK 6,LI SADE). Bir barkod yalnızca tek bir ürüne ait olmalı. Bu ürünün kutusundaki/etiketindeki gerçek barkodu yazın; bu barkod başka bir ürüne aitse bu ürüne yeni barkod verin.</t>
        </is>
      </c>
      <c r="I21" s="19" t="n"/>
      <c r="J21" s="19" t="n"/>
      <c r="K21" s="19" t="n"/>
    </row>
    <row r="22">
      <c r="A22" s="15" t="n">
        <v>21</v>
      </c>
      <c r="B22" s="15" t="inlineStr">
        <is>
          <t>B10</t>
        </is>
      </c>
      <c r="C22" s="20" t="inlineStr">
        <is>
          <t>ORTAK BARKOD
KODA BİRDEN FAZLA BARKOD</t>
        </is>
      </c>
      <c r="D22" s="15" t="n">
        <v>137</v>
      </c>
      <c r="E22" s="17" t="inlineStr">
        <is>
          <t>DNC_181</t>
        </is>
      </c>
      <c r="F22" s="17" t="inlineStr">
        <is>
          <t>DNC_181 ORKİDE ÇAY KAŞIK 6,LI SADE</t>
        </is>
      </c>
      <c r="G22" s="18" t="inlineStr">
        <is>
          <t>8683613550036</t>
        </is>
      </c>
      <c r="H22" s="17" t="inlineStr">
        <is>
          <t>• Bu barkod farklı ürünlerde de kullanılmış: DNC_092 (DNC-092 6,LI PLATİN TATLI KAŞIK). Bir barkod yalnızca tek bir ürüne ait olmalı. Bu ürünün kutusundaki/etiketindeki gerçek barkodu yazın; bu barkod başka bir ürüne aitse bu ürüne yeni barkod verin. (COŞ_D181 aynı ürünün farklı ön ekli kodu olarak değerlendirildi.)
• DNC-181 koduna listede 2 farklı barkod verilmiş: 8683613550036, 8683613550678. Bu kodun doğru barkodu hangisi? Diğer barkod hangi ürüne aitse belirtin.</t>
        </is>
      </c>
      <c r="I22" s="19" t="n"/>
      <c r="J22" s="19" t="n"/>
      <c r="K22" s="19" t="n"/>
    </row>
    <row r="23">
      <c r="A23" s="15" t="n">
        <v>22</v>
      </c>
      <c r="B23" s="15" t="inlineStr">
        <is>
          <t>B12</t>
        </is>
      </c>
      <c r="C23" s="20" t="inlineStr">
        <is>
          <t>ORTAK BARKOD</t>
        </is>
      </c>
      <c r="D23" s="15" t="n">
        <v>31</v>
      </c>
      <c r="E23" s="17" t="inlineStr">
        <is>
          <t>COŞ_D126</t>
        </is>
      </c>
      <c r="F23" s="17" t="inlineStr">
        <is>
          <t>COŞ_D 126 GOLD BEYAZ KELEBEKLİ  MAŞA SET</t>
        </is>
      </c>
      <c r="G23" s="18" t="inlineStr">
        <is>
          <t>8683613550364</t>
        </is>
      </c>
      <c r="H23" s="17" t="inlineStr">
        <is>
          <t>Bu barkod farklı ürünlerde de kullanılmış: COŞ_D163 (COŞ_D 163OKYANUS SOS SERVİS SPATULA); DNC_163 (DNC-163 OKYANUS SOS SERVİS SPATULA). Bir barkod yalnızca tek bir ürüne ait olmalı. Bu ürünün kutusundaki/etiketindeki gerçek barkodu yazın; bu barkod başka bir ürüne aitse bu ürüne yeni barkod verin. (DNC_126 aynı ürünün farklı ön ekli kodu olarak değerlendirildi.)</t>
        </is>
      </c>
      <c r="I23" s="19" t="n"/>
      <c r="J23" s="19" t="n"/>
      <c r="K23" s="19" t="n"/>
    </row>
    <row r="24">
      <c r="A24" s="15" t="n">
        <v>23</v>
      </c>
      <c r="B24" s="15" t="inlineStr">
        <is>
          <t>B12</t>
        </is>
      </c>
      <c r="C24" s="20" t="inlineStr">
        <is>
          <t>ORTAK BARKOD</t>
        </is>
      </c>
      <c r="D24" s="15" t="n">
        <v>35</v>
      </c>
      <c r="E24" s="17" t="inlineStr">
        <is>
          <t>COŞ_D163</t>
        </is>
      </c>
      <c r="F24" s="17" t="inlineStr">
        <is>
          <t>COŞ_D 163OKYANUS SOS SERVİS SPATULA</t>
        </is>
      </c>
      <c r="G24" s="18" t="inlineStr">
        <is>
          <t>8683613550364</t>
        </is>
      </c>
      <c r="H24" s="17" t="inlineStr">
        <is>
          <t>Bu barkod farklı ürünlerde de kullanılmış: COŞ_D126 (COŞ_D 126 GOLD BEYAZ KELEBEKLİ  MAŞA SET); DNC_126 (DNC_126 GOLD BEYAZ KELEBEKLİ  MAŞA SET). Bir barkod yalnızca tek bir ürüne ait olmalı. Bu ürünün kutusundaki/etiketindeki gerçek barkodu yazın; bu barkod başka bir ürüne aitse bu ürüne yeni barkod verin. (DNC_163 aynı ürünün farklı ön ekli kodu olarak değerlendirildi.)</t>
        </is>
      </c>
      <c r="I24" s="19" t="n"/>
      <c r="J24" s="19" t="n"/>
      <c r="K24" s="19" t="n"/>
    </row>
    <row r="25">
      <c r="A25" s="15" t="n">
        <v>24</v>
      </c>
      <c r="B25" s="15" t="inlineStr">
        <is>
          <t>B12</t>
        </is>
      </c>
      <c r="C25" s="20" t="inlineStr">
        <is>
          <t>ORTAK BARKOD</t>
        </is>
      </c>
      <c r="D25" s="15" t="n">
        <v>121</v>
      </c>
      <c r="E25" s="17" t="inlineStr">
        <is>
          <t>DNC_126</t>
        </is>
      </c>
      <c r="F25" s="17" t="inlineStr">
        <is>
          <t>DNC_126 GOLD BEYAZ KELEBEKLİ  MAŞA SET</t>
        </is>
      </c>
      <c r="G25" s="18" t="inlineStr">
        <is>
          <t>8683613550364</t>
        </is>
      </c>
      <c r="H25" s="17" t="inlineStr">
        <is>
          <t>Bu barkod farklı ürünlerde de kullanılmış: COŞ_D163 (COŞ_D 163OKYANUS SOS SERVİS SPATULA); DNC_163 (DNC-163 OKYANUS SOS SERVİS SPATULA). Bir barkod yalnızca tek bir ürüne ait olmalı. Bu ürünün kutusundaki/etiketindeki gerçek barkodu yazın; bu barkod başka bir ürüne aitse bu ürüne yeni barkod verin. (COŞ_D126 aynı ürünün farklı ön ekli kodu olarak değerlendirildi.)</t>
        </is>
      </c>
      <c r="I25" s="19" t="n"/>
      <c r="J25" s="19" t="n"/>
      <c r="K25" s="19" t="n"/>
    </row>
    <row r="26">
      <c r="A26" s="15" t="n">
        <v>25</v>
      </c>
      <c r="B26" s="15" t="inlineStr">
        <is>
          <t>B12</t>
        </is>
      </c>
      <c r="C26" s="20" t="inlineStr">
        <is>
          <t>ORTAK BARKOD</t>
        </is>
      </c>
      <c r="D26" s="15" t="n">
        <v>163</v>
      </c>
      <c r="E26" s="17" t="inlineStr">
        <is>
          <t>DNC_163</t>
        </is>
      </c>
      <c r="F26" s="17" t="inlineStr">
        <is>
          <t>DNC-163 OKYANUS SOS SERVİS SPATULA</t>
        </is>
      </c>
      <c r="G26" s="18" t="inlineStr">
        <is>
          <t>8683613550364</t>
        </is>
      </c>
      <c r="H26" s="17" t="inlineStr">
        <is>
          <t>Bu barkod farklı ürünlerde de kullanılmış: COŞ_D126 (COŞ_D 126 GOLD BEYAZ KELEBEKLİ  MAŞA SET); DNC_126 (DNC_126 GOLD BEYAZ KELEBEKLİ  MAŞA SET). Bir barkod yalnızca tek bir ürüne ait olmalı. Bu ürünün kutusundaki/etiketindeki gerçek barkodu yazın; bu barkod başka bir ürüne aitse bu ürüne yeni barkod verin. (COŞ_D163 aynı ürünün farklı ön ekli kodu olarak değerlendirildi.)</t>
        </is>
      </c>
      <c r="I26" s="19" t="n"/>
      <c r="J26" s="19" t="n"/>
      <c r="K26" s="19" t="n"/>
    </row>
    <row r="27">
      <c r="A27" s="15" t="n">
        <v>26</v>
      </c>
      <c r="B27" s="15" t="inlineStr">
        <is>
          <t>B13</t>
        </is>
      </c>
      <c r="C27" s="20" t="inlineStr">
        <is>
          <t>ORTAK BARKOD</t>
        </is>
      </c>
      <c r="D27" s="15" t="n">
        <v>34</v>
      </c>
      <c r="E27" s="17" t="inlineStr">
        <is>
          <t>COŞ_D162</t>
        </is>
      </c>
      <c r="F27" s="17" t="inlineStr">
        <is>
          <t>COŞ_D 162 OKYANUS SOS SERVİS KAŞIK</t>
        </is>
      </c>
      <c r="G27" s="18" t="inlineStr">
        <is>
          <t>8683613550371</t>
        </is>
      </c>
      <c r="H27" s="17" t="inlineStr">
        <is>
          <t>Bu barkod farklı ürünlerde de kullanılmış: DNC_127 (DNC_127 BEYAZ MİNELİ GOLD JAPON ÇİÇEĞİ MAŞA SET). Bir barkod yalnızca tek bir ürüne ait olmalı. Bu ürünün kutusundaki/etiketindeki gerçek barkodu yazın; bu barkod başka bir ürüne aitse bu ürüne yeni barkod verin. (DNC_162 aynı ürünün farklı ön ekli kodu olarak değerlendirildi.)</t>
        </is>
      </c>
      <c r="I27" s="19" t="n"/>
      <c r="J27" s="19" t="n"/>
      <c r="K27" s="19" t="n"/>
    </row>
    <row r="28">
      <c r="A28" s="15" t="n">
        <v>27</v>
      </c>
      <c r="B28" s="15" t="inlineStr">
        <is>
          <t>B13</t>
        </is>
      </c>
      <c r="C28" s="20" t="inlineStr">
        <is>
          <t>ORTAK BARKOD</t>
        </is>
      </c>
      <c r="D28" s="15" t="n">
        <v>122</v>
      </c>
      <c r="E28" s="17" t="inlineStr">
        <is>
          <t>DNC_127</t>
        </is>
      </c>
      <c r="F28" s="17" t="inlineStr">
        <is>
          <t>DNC_127 BEYAZ MİNELİ GOLD JAPON ÇİÇEĞİ MAŞA SET</t>
        </is>
      </c>
      <c r="G28" s="18" t="inlineStr">
        <is>
          <t>8683613550371</t>
        </is>
      </c>
      <c r="H28" s="17" t="inlineStr">
        <is>
          <t>Bu barkod farklı ürünlerde de kullanılmış: COŞ_D162 (COŞ_D 162 OKYANUS SOS SERVİS KAŞIK); DNC_162 (DNC-162 OKYANUS SOS SERVİS KAŞIK). Bir barkod yalnızca tek bir ürüne ait olmalı. Bu ürünün kutusundaki/etiketindeki gerçek barkodu yazın; bu barkod başka bir ürüne aitse bu ürüne yeni barkod verin.</t>
        </is>
      </c>
      <c r="I28" s="19" t="n"/>
      <c r="J28" s="19" t="n"/>
      <c r="K28" s="19" t="n"/>
    </row>
    <row r="29">
      <c r="A29" s="15" t="n">
        <v>28</v>
      </c>
      <c r="B29" s="15" t="inlineStr">
        <is>
          <t>B13</t>
        </is>
      </c>
      <c r="C29" s="20" t="inlineStr">
        <is>
          <t>ORTAK BARKOD</t>
        </is>
      </c>
      <c r="D29" s="15" t="n">
        <v>162</v>
      </c>
      <c r="E29" s="17" t="inlineStr">
        <is>
          <t>DNC_162</t>
        </is>
      </c>
      <c r="F29" s="17" t="inlineStr">
        <is>
          <t>DNC-162 OKYANUS SOS SERVİS KAŞIK</t>
        </is>
      </c>
      <c r="G29" s="18" t="inlineStr">
        <is>
          <t>8683613550371</t>
        </is>
      </c>
      <c r="H29" s="17" t="inlineStr">
        <is>
          <t>Bu barkod farklı ürünlerde de kullanılmış: DNC_127 (DNC_127 BEYAZ MİNELİ GOLD JAPON ÇİÇEĞİ MAŞA SET). Bir barkod yalnızca tek bir ürüne ait olmalı. Bu ürünün kutusundaki/etiketindeki gerçek barkodu yazın; bu barkod başka bir ürüne aitse bu ürüne yeni barkod verin. (COŞ_D162 aynı ürünün farklı ön ekli kodu olarak değerlendirildi.)</t>
        </is>
      </c>
      <c r="I29" s="19" t="n"/>
      <c r="J29" s="19" t="n"/>
      <c r="K29" s="19" t="n"/>
    </row>
    <row r="30">
      <c r="A30" s="15" t="n">
        <v>29</v>
      </c>
      <c r="B30" s="15" t="inlineStr">
        <is>
          <t>B22</t>
        </is>
      </c>
      <c r="C30" s="20" t="inlineStr">
        <is>
          <t>ORTAK BARKOD
ÜRÜN KODU YOK</t>
        </is>
      </c>
      <c r="D30" s="15" t="n">
        <v>250</v>
      </c>
      <c r="E30" s="17" t="inlineStr">
        <is>
          <t>(boş)</t>
        </is>
      </c>
      <c r="F30" s="17" t="inlineStr">
        <is>
          <t>ŞAHANE HOME 36 PRÇ TİTANİUM Ç.K.B SET</t>
        </is>
      </c>
      <c r="G30" s="18" t="inlineStr">
        <is>
          <t>8683613550661</t>
        </is>
      </c>
      <c r="H30" s="17" t="inlineStr">
        <is>
          <t>• Bu barkod farklı ürünlerde de kullanılmış: COŞ_D166 (COŞ_D166 SOS KEPÇE TİTANİUM); DNC_166 (DNC_166 OKYANUS SOS KEPÇE TİTANİUM). Bir barkod yalnızca tek bir ürüne ait olmalı. Bu ürünün kutusundaki/etiketindeki gerçek barkodu yazın; bu barkod başka bir ürüne aitse bu ürüne yeni barkod verin.
• Ürün kodu boş. Ürünün DNC kodunu yazın.</t>
        </is>
      </c>
      <c r="I30" s="19" t="n"/>
      <c r="J30" s="19" t="n"/>
      <c r="K30" s="19" t="n"/>
    </row>
    <row r="31">
      <c r="A31" s="15" t="n">
        <v>30</v>
      </c>
      <c r="B31" s="15" t="inlineStr">
        <is>
          <t>B22</t>
        </is>
      </c>
      <c r="C31" s="20" t="inlineStr">
        <is>
          <t>ORTAK BARKOD</t>
        </is>
      </c>
      <c r="D31" s="15" t="n">
        <v>43</v>
      </c>
      <c r="E31" s="17" t="inlineStr">
        <is>
          <t>COŞ_D166</t>
        </is>
      </c>
      <c r="F31" s="17" t="inlineStr">
        <is>
          <t>COŞ_D166 SOS KEPÇE TİTANİUM</t>
        </is>
      </c>
      <c r="G31" s="18" t="inlineStr">
        <is>
          <t>8683613550661</t>
        </is>
      </c>
      <c r="H31" s="17" t="inlineStr">
        <is>
          <t>Bu barkod farklı ürünlerde de kullanılmış: (kodsuz) (ŞAHANE HOME 36 PRÇ TİTANİUM Ç.K.B SET). Bir barkod yalnızca tek bir ürüne ait olmalı. Bu ürünün kutusundaki/etiketindeki gerçek barkodu yazın; bu barkod başka bir ürüne aitse bu ürüne yeni barkod verin. (DNC_166 aynı ürünün farklı ön ekli kodu olarak değerlendirildi.)</t>
        </is>
      </c>
      <c r="I31" s="19" t="n"/>
      <c r="J31" s="19" t="n"/>
      <c r="K31" s="19" t="n"/>
    </row>
    <row r="32">
      <c r="A32" s="15" t="n">
        <v>31</v>
      </c>
      <c r="B32" s="15" t="inlineStr">
        <is>
          <t>B22</t>
        </is>
      </c>
      <c r="C32" s="20" t="inlineStr">
        <is>
          <t>ORTAK BARKOD</t>
        </is>
      </c>
      <c r="D32" s="15" t="n">
        <v>174</v>
      </c>
      <c r="E32" s="17" t="inlineStr">
        <is>
          <t>DNC_166</t>
        </is>
      </c>
      <c r="F32" s="17" t="inlineStr">
        <is>
          <t>DNC_166 OKYANUS SOS KEPÇE TİTANİUM</t>
        </is>
      </c>
      <c r="G32" s="18" t="inlineStr">
        <is>
          <t>8683613550661</t>
        </is>
      </c>
      <c r="H32" s="17" t="inlineStr">
        <is>
          <t>Bu barkod farklı ürünlerde de kullanılmış: (kodsuz) (ŞAHANE HOME 36 PRÇ TİTANİUM Ç.K.B SET). Bir barkod yalnızca tek bir ürüne ait olmalı. Bu ürünün kutusundaki/etiketindeki gerçek barkodu yazın; bu barkod başka bir ürüne aitse bu ürüne yeni barkod verin. (COŞ_D166 aynı ürünün farklı ön ekli kodu olarak değerlendirildi.)</t>
        </is>
      </c>
      <c r="I32" s="19" t="n"/>
      <c r="J32" s="19" t="n"/>
      <c r="K32" s="19" t="n"/>
    </row>
    <row r="33">
      <c r="A33" s="15" t="n">
        <v>32</v>
      </c>
      <c r="B33" s="15" t="inlineStr">
        <is>
          <t>B23</t>
        </is>
      </c>
      <c r="C33" s="20" t="inlineStr">
        <is>
          <t>ORTAK BARKOD</t>
        </is>
      </c>
      <c r="D33" s="15" t="n">
        <v>46</v>
      </c>
      <c r="E33" s="17" t="inlineStr">
        <is>
          <t>COŞ_D171</t>
        </is>
      </c>
      <c r="F33" s="17" t="inlineStr">
        <is>
          <t>COŞ_D171 5,Lİ SOS SERVİS TK TİTANİUM</t>
        </is>
      </c>
      <c r="G33" s="18" t="inlineStr">
        <is>
          <t>8683613550678</t>
        </is>
      </c>
      <c r="H33" s="17" t="inlineStr">
        <is>
          <t>Bu barkod farklı ürünlerde de kullanılmış: DNC_181 (DNC_181 ORKİDE ÇAY KAŞIK 6,LI SADE); DNC_167 (DNC_167 OKYANUS SOS KEVGİR TİTANİUM). Bir barkod yalnızca tek bir ürüne ait olmalı. Bu ürünün kutusundaki/etiketindeki gerçek barkodu yazın; bu barkod başka bir ürüne aitse bu ürüne yeni barkod verin. (DNC_171 aynı ürünün farklı ön ekli kodu olarak değerlendirildi.)</t>
        </is>
      </c>
      <c r="I33" s="19" t="n"/>
      <c r="J33" s="19" t="n"/>
      <c r="K33" s="19" t="n"/>
    </row>
    <row r="34">
      <c r="A34" s="15" t="n">
        <v>33</v>
      </c>
      <c r="B34" s="15" t="inlineStr">
        <is>
          <t>B23</t>
        </is>
      </c>
      <c r="C34" s="20" t="inlineStr">
        <is>
          <t>ORTAK BARKOD</t>
        </is>
      </c>
      <c r="D34" s="15" t="n">
        <v>175</v>
      </c>
      <c r="E34" s="17" t="inlineStr">
        <is>
          <t>DNC_167</t>
        </is>
      </c>
      <c r="F34" s="17" t="inlineStr">
        <is>
          <t>DNC_167 OKYANUS SOS KEVGİR TİTANİUM</t>
        </is>
      </c>
      <c r="G34" s="18" t="inlineStr">
        <is>
          <t>8683613550678</t>
        </is>
      </c>
      <c r="H34" s="17" t="inlineStr">
        <is>
          <t>Bu barkod farklı ürünlerde de kullanılmış: DNC_181 (DNC_181 ORKİDE ÇAY KAŞIK 6,LI SADE); COŞ_D171 (COŞ_D171 5,Lİ SOS SERVİS TK TİTANİUM); DNC_171 (DNC_171 OKYANUS SOS SERVİS TK TİTANİUM). Bir barkod yalnızca tek bir ürüne ait olmalı. Bu ürünün kutusundaki/etiketindeki gerçek barkodu yazın; bu barkod başka bir ürüne aitse bu ürüne yeni barkod verin.</t>
        </is>
      </c>
      <c r="I34" s="19" t="n"/>
      <c r="J34" s="19" t="n"/>
      <c r="K34" s="19" t="n"/>
    </row>
    <row r="35">
      <c r="A35" s="15" t="n">
        <v>34</v>
      </c>
      <c r="B35" s="15" t="inlineStr">
        <is>
          <t>B23</t>
        </is>
      </c>
      <c r="C35" s="20" t="inlineStr">
        <is>
          <t>ORTAK BARKOD</t>
        </is>
      </c>
      <c r="D35" s="15" t="n">
        <v>179</v>
      </c>
      <c r="E35" s="17" t="inlineStr">
        <is>
          <t>DNC_171</t>
        </is>
      </c>
      <c r="F35" s="17" t="inlineStr">
        <is>
          <t>DNC_171 OKYANUS SOS SERVİS TK TİTANİUM</t>
        </is>
      </c>
      <c r="G35" s="18" t="inlineStr">
        <is>
          <t>8683613550678</t>
        </is>
      </c>
      <c r="H35" s="17" t="inlineStr">
        <is>
          <t>Bu barkod farklı ürünlerde de kullanılmış: DNC_181 (DNC_181 ORKİDE ÇAY KAŞIK 6,LI SADE); DNC_167 (DNC_167 OKYANUS SOS KEVGİR TİTANİUM). Bir barkod yalnızca tek bir ürüne ait olmalı. Bu ürünün kutusundaki/etiketindeki gerçek barkodu yazın; bu barkod başka bir ürüne aitse bu ürüne yeni barkod verin. (COŞ_D171 aynı ürünün farklı ön ekli kodu olarak değerlendirildi.)</t>
        </is>
      </c>
      <c r="I35" s="19" t="n"/>
      <c r="J35" s="19" t="n"/>
      <c r="K35" s="19" t="n"/>
    </row>
    <row r="36">
      <c r="A36" s="15" t="n">
        <v>35</v>
      </c>
      <c r="B36" s="15" t="inlineStr">
        <is>
          <t>B23</t>
        </is>
      </c>
      <c r="C36" s="20" t="inlineStr">
        <is>
          <t>ORTAK BARKOD
KODA BİRDEN FAZLA BARKOD</t>
        </is>
      </c>
      <c r="D36" s="15" t="n">
        <v>8</v>
      </c>
      <c r="E36" s="17" t="inlineStr">
        <is>
          <t>DNC_181</t>
        </is>
      </c>
      <c r="F36" s="17" t="inlineStr">
        <is>
          <t>DNC_181 ORKİDE ÇAY KAŞIK 6,LI SADE</t>
        </is>
      </c>
      <c r="G36" s="18" t="inlineStr">
        <is>
          <t>8683613550678</t>
        </is>
      </c>
      <c r="H36" s="17" t="inlineStr">
        <is>
          <t>• Bu barkod farklı ürünlerde de kullanılmış: COŞ_D171 (COŞ_D171 5,Lİ SOS SERVİS TK TİTANİUM); DNC_167 (DNC_167 OKYANUS SOS KEVGİR TİTANİUM); DNC_171 (DNC_171 OKYANUS SOS SERVİS TK TİTANİUM). Bir barkod yalnızca tek bir ürüne ait olmalı. Bu ürünün kutusundaki/etiketindeki gerçek barkodu yazın; bu barkod başka bir ürüne aitse bu ürüne yeni barkod verin.
• DNC-181 koduna listede 2 farklı barkod verilmiş: 8683613550036, 8683613550678. Bu kodun doğru barkodu hangisi? Diğer barkod hangi ürüne aitse belirtin.</t>
        </is>
      </c>
      <c r="I36" s="19" t="n"/>
      <c r="J36" s="19" t="n"/>
      <c r="K36" s="19" t="n"/>
    </row>
    <row r="37">
      <c r="A37" s="15" t="n">
        <v>36</v>
      </c>
      <c r="B37" s="15" t="inlineStr">
        <is>
          <t>B24</t>
        </is>
      </c>
      <c r="C37" s="20" t="inlineStr">
        <is>
          <t>ORTAK BARKOD</t>
        </is>
      </c>
      <c r="D37" s="15" t="n">
        <v>44</v>
      </c>
      <c r="E37" s="17" t="inlineStr">
        <is>
          <t>COŞ_D168</t>
        </is>
      </c>
      <c r="F37" s="17" t="inlineStr">
        <is>
          <t>COŞ_D168 SOS KAŞIK TİTANİUM</t>
        </is>
      </c>
      <c r="G37" s="18" t="inlineStr">
        <is>
          <t>8683613550685</t>
        </is>
      </c>
      <c r="H37" s="17" t="inlineStr">
        <is>
          <t>Bu barkod farklı ürünlerde de kullanılmış: DNC_172 (DNC_172  SOS SERVİS TK MAT TİTANİUM). Bir barkod yalnızca tek bir ürüne ait olmalı. Bu ürünün kutusundaki/etiketindeki gerçek barkodu yazın; bu barkod başka bir ürüne aitse bu ürüne yeni barkod verin. (DNC_168 aynı ürünün farklı ön ekli kodu olarak değerlendirildi.)</t>
        </is>
      </c>
      <c r="I37" s="19" t="n"/>
      <c r="J37" s="19" t="n"/>
      <c r="K37" s="19" t="n"/>
    </row>
    <row r="38">
      <c r="A38" s="15" t="n">
        <v>37</v>
      </c>
      <c r="B38" s="15" t="inlineStr">
        <is>
          <t>B24</t>
        </is>
      </c>
      <c r="C38" s="20" t="inlineStr">
        <is>
          <t>ORTAK BARKOD</t>
        </is>
      </c>
      <c r="D38" s="15" t="n">
        <v>176</v>
      </c>
      <c r="E38" s="17" t="inlineStr">
        <is>
          <t>DNC_168</t>
        </is>
      </c>
      <c r="F38" s="17" t="inlineStr">
        <is>
          <t>DNC_168 OKYANUS SOS KAŞIK TİTANİUM</t>
        </is>
      </c>
      <c r="G38" s="18" t="inlineStr">
        <is>
          <t>8683613550685</t>
        </is>
      </c>
      <c r="H38" s="17" t="inlineStr">
        <is>
          <t>Bu barkod farklı ürünlerde de kullanılmış: DNC_172 (DNC_172  SOS SERVİS TK MAT TİTANİUM). Bir barkod yalnızca tek bir ürüne ait olmalı. Bu ürünün kutusundaki/etiketindeki gerçek barkodu yazın; bu barkod başka bir ürüne aitse bu ürüne yeni barkod verin. (COŞ_D168 aynı ürünün farklı ön ekli kodu olarak değerlendirildi.)</t>
        </is>
      </c>
      <c r="I38" s="19" t="n"/>
      <c r="J38" s="19" t="n"/>
      <c r="K38" s="19" t="n"/>
    </row>
    <row r="39">
      <c r="A39" s="15" t="n">
        <v>38</v>
      </c>
      <c r="B39" s="15" t="inlineStr">
        <is>
          <t>B24</t>
        </is>
      </c>
      <c r="C39" s="20" t="inlineStr">
        <is>
          <t>ORTAK BARKOD</t>
        </is>
      </c>
      <c r="D39" s="15" t="n">
        <v>180</v>
      </c>
      <c r="E39" s="17" t="inlineStr">
        <is>
          <t>DNC_172</t>
        </is>
      </c>
      <c r="F39" s="17" t="inlineStr">
        <is>
          <t>DNC_172  SOS SERVİS TK MAT TİTANİUM</t>
        </is>
      </c>
      <c r="G39" s="18" t="inlineStr">
        <is>
          <t>8683613550685</t>
        </is>
      </c>
      <c r="H39" s="17" t="inlineStr">
        <is>
          <t>Bu barkod farklı ürünlerde de kullanılmış: COŞ_D168 (COŞ_D168 SOS KAŞIK TİTANİUM); DNC_168 (DNC_168 OKYANUS SOS KAŞIK TİTANİUM). Bir barkod yalnızca tek bir ürüne ait olmalı. Bu ürünün kutusundaki/etiketindeki gerçek barkodu yazın; bu barkod başka bir ürüne aitse bu ürüne yeni barkod verin.</t>
        </is>
      </c>
      <c r="I39" s="19" t="n"/>
      <c r="J39" s="19" t="n"/>
      <c r="K39" s="19" t="n"/>
    </row>
    <row r="40">
      <c r="A40" s="15" t="n">
        <v>39</v>
      </c>
      <c r="B40" s="15" t="inlineStr">
        <is>
          <t>B25</t>
        </is>
      </c>
      <c r="C40" s="20" t="inlineStr">
        <is>
          <t>ORTAK BARKOD</t>
        </is>
      </c>
      <c r="D40" s="15" t="n">
        <v>45</v>
      </c>
      <c r="E40" s="17" t="inlineStr">
        <is>
          <t>COŞ_D169</t>
        </is>
      </c>
      <c r="F40" s="17" t="inlineStr">
        <is>
          <t>COŞ_D169  SOS SPATULA TİTANİUM</t>
        </is>
      </c>
      <c r="G40" s="18" t="inlineStr">
        <is>
          <t>8683613550692</t>
        </is>
      </c>
      <c r="H40" s="17" t="inlineStr">
        <is>
          <t>Bu barkod farklı ürünlerde de kullanılmış: DNC_173 (DNC_173 5,Lİ SOS SERVİS TK MİRA GOLD). Bir barkod yalnızca tek bir ürüne ait olmalı. Bu ürünün kutusundaki/etiketindeki gerçek barkodu yazın; bu barkod başka bir ürüne aitse bu ürüne yeni barkod verin. (DNC_169 aynı ürünün farklı ön ekli kodu olarak değerlendirildi.)</t>
        </is>
      </c>
      <c r="I40" s="19" t="n"/>
      <c r="J40" s="19" t="n"/>
      <c r="K40" s="19" t="n"/>
    </row>
    <row r="41">
      <c r="A41" s="15" t="n">
        <v>40</v>
      </c>
      <c r="B41" s="15" t="inlineStr">
        <is>
          <t>B25</t>
        </is>
      </c>
      <c r="C41" s="20" t="inlineStr">
        <is>
          <t>ORTAK BARKOD</t>
        </is>
      </c>
      <c r="D41" s="15" t="n">
        <v>177</v>
      </c>
      <c r="E41" s="17" t="inlineStr">
        <is>
          <t>DNC_169</t>
        </is>
      </c>
      <c r="F41" s="17" t="inlineStr">
        <is>
          <t>DNC_169 OKYANUS SOS SPATULA TİTANİUM</t>
        </is>
      </c>
      <c r="G41" s="18" t="inlineStr">
        <is>
          <t>8683613550692</t>
        </is>
      </c>
      <c r="H41" s="17" t="inlineStr">
        <is>
          <t>Bu barkod farklı ürünlerde de kullanılmış: DNC_173 (DNC_173 5,Lİ SOS SERVİS TK MİRA GOLD). Bir barkod yalnızca tek bir ürüne ait olmalı. Bu ürünün kutusundaki/etiketindeki gerçek barkodu yazın; bu barkod başka bir ürüne aitse bu ürüne yeni barkod verin. (COŞ_D169 aynı ürünün farklı ön ekli kodu olarak değerlendirildi.)</t>
        </is>
      </c>
      <c r="I41" s="19" t="n"/>
      <c r="J41" s="19" t="n"/>
      <c r="K41" s="19" t="n"/>
    </row>
    <row r="42">
      <c r="A42" s="15" t="n">
        <v>41</v>
      </c>
      <c r="B42" s="15" t="inlineStr">
        <is>
          <t>B25</t>
        </is>
      </c>
      <c r="C42" s="20" t="inlineStr">
        <is>
          <t>ORTAK BARKOD</t>
        </is>
      </c>
      <c r="D42" s="15" t="n">
        <v>181</v>
      </c>
      <c r="E42" s="17" t="inlineStr">
        <is>
          <t>DNC_173</t>
        </is>
      </c>
      <c r="F42" s="17" t="inlineStr">
        <is>
          <t>DNC_173 5,Lİ SOS SERVİS TK MİRA GOLD</t>
        </is>
      </c>
      <c r="G42" s="18" t="inlineStr">
        <is>
          <t>8683613550692</t>
        </is>
      </c>
      <c r="H42" s="17" t="inlineStr">
        <is>
          <t>Bu barkod farklı ürünlerde de kullanılmış: COŞ_D169 (COŞ_D169  SOS SPATULA TİTANİUM); DNC_169 (DNC_169 OKYANUS SOS SPATULA TİTANİUM). Bir barkod yalnızca tek bir ürüne ait olmalı. Bu ürünün kutusundaki/etiketindeki gerçek barkodu yazın; bu barkod başka bir ürüne aitse bu ürüne yeni barkod verin.</t>
        </is>
      </c>
      <c r="I42" s="19" t="n"/>
      <c r="J42" s="19" t="n"/>
      <c r="K42" s="19" t="n"/>
    </row>
    <row r="43">
      <c r="A43" s="15" t="n">
        <v>42</v>
      </c>
      <c r="B43" s="15" t="inlineStr">
        <is>
          <t>B26</t>
        </is>
      </c>
      <c r="C43" s="20" t="inlineStr">
        <is>
          <t>ORTAK BARKOD</t>
        </is>
      </c>
      <c r="D43" s="15" t="n">
        <v>28</v>
      </c>
      <c r="E43" s="17" t="inlineStr">
        <is>
          <t>COŞ_D037</t>
        </is>
      </c>
      <c r="F43" s="17" t="inlineStr">
        <is>
          <t>COŞ_D 037 SALATA MAŞASI</t>
        </is>
      </c>
      <c r="G43" s="18" t="inlineStr">
        <is>
          <t>8683613550708</t>
        </is>
      </c>
      <c r="H43" s="17" t="inlineStr">
        <is>
          <t>Bu barkod farklı ürünlerde de kullanılmış: DNC_174 (DNC_174 5,Lİ SOS SERVİS MİRA MAT GOLD). Bir barkod yalnızca tek bir ürüne ait olmalı. Bu ürünün kutusundaki/etiketindeki gerçek barkodu yazın; bu barkod başka bir ürüne aitse bu ürüne yeni barkod verin. (DNC_037 aynı ürünün farklı ön ekli kodu olarak değerlendirildi.)</t>
        </is>
      </c>
      <c r="I43" s="19" t="n"/>
      <c r="J43" s="19" t="n"/>
      <c r="K43" s="19" t="n"/>
    </row>
    <row r="44">
      <c r="A44" s="15" t="n">
        <v>43</v>
      </c>
      <c r="B44" s="15" t="inlineStr">
        <is>
          <t>B26</t>
        </is>
      </c>
      <c r="C44" s="20" t="inlineStr">
        <is>
          <t>ORTAK BARKOD</t>
        </is>
      </c>
      <c r="D44" s="15" t="n">
        <v>108</v>
      </c>
      <c r="E44" s="17" t="inlineStr">
        <is>
          <t>DNC_037</t>
        </is>
      </c>
      <c r="F44" s="17" t="inlineStr">
        <is>
          <t>DNC-037 SALATA MAŞASI</t>
        </is>
      </c>
      <c r="G44" s="18" t="inlineStr">
        <is>
          <t>8683613550708</t>
        </is>
      </c>
      <c r="H44" s="17" t="inlineStr">
        <is>
          <t>Bu barkod farklı ürünlerde de kullanılmış: DNC_174 (DNC_174 5,Lİ SOS SERVİS MİRA MAT GOLD). Bir barkod yalnızca tek bir ürüne ait olmalı. Bu ürünün kutusundaki/etiketindeki gerçek barkodu yazın; bu barkod başka bir ürüne aitse bu ürüne yeni barkod verin. (COŞ_D037 aynı ürünün farklı ön ekli kodu olarak değerlendirildi.)</t>
        </is>
      </c>
      <c r="I44" s="19" t="n"/>
      <c r="J44" s="19" t="n"/>
      <c r="K44" s="19" t="n"/>
    </row>
    <row r="45">
      <c r="A45" s="15" t="n">
        <v>44</v>
      </c>
      <c r="B45" s="15" t="inlineStr">
        <is>
          <t>B26</t>
        </is>
      </c>
      <c r="C45" s="20" t="inlineStr">
        <is>
          <t>ORTAK BARKOD</t>
        </is>
      </c>
      <c r="D45" s="15" t="n">
        <v>182</v>
      </c>
      <c r="E45" s="17" t="inlineStr">
        <is>
          <t>DNC_174</t>
        </is>
      </c>
      <c r="F45" s="17" t="inlineStr">
        <is>
          <t>DNC_174 5,Lİ SOS SERVİS MİRA MAT GOLD</t>
        </is>
      </c>
      <c r="G45" s="18" t="inlineStr">
        <is>
          <t>8683613550708</t>
        </is>
      </c>
      <c r="H45" s="17" t="inlineStr">
        <is>
          <t>Bu barkod farklı ürünlerde de kullanılmış: COŞ_D037 (COŞ_D 037 SALATA MAŞASI); DNC_037 (DNC-037 SALATA MAŞASI). Bir barkod yalnızca tek bir ürüne ait olmalı. Bu ürünün kutusundaki/etiketindeki gerçek barkodu yazın; bu barkod başka bir ürüne aitse bu ürüne yeni barkod verin.</t>
        </is>
      </c>
      <c r="I45" s="19" t="n"/>
      <c r="J45" s="19" t="n"/>
      <c r="K45" s="19" t="n"/>
    </row>
    <row r="46">
      <c r="A46" s="15" t="n">
        <v>45</v>
      </c>
      <c r="B46" s="15" t="inlineStr">
        <is>
          <t>B27</t>
        </is>
      </c>
      <c r="C46" s="20" t="inlineStr">
        <is>
          <t>ORTAK BARKOD</t>
        </is>
      </c>
      <c r="D46" s="15" t="n">
        <v>29</v>
      </c>
      <c r="E46" s="17" t="inlineStr">
        <is>
          <t>COŞ_D038</t>
        </is>
      </c>
      <c r="F46" s="17" t="inlineStr">
        <is>
          <t>COŞ_D 038 PASTA MAŞASI</t>
        </is>
      </c>
      <c r="G46" s="18" t="inlineStr">
        <is>
          <t>8683613550715</t>
        </is>
      </c>
      <c r="H46" s="17" t="inlineStr">
        <is>
          <t>Bu barkod farklı ürünlerde de kullanılmış: DNC_175 (DNC_175  MİRA GOLD SOS SERVİS KEPÇE). Bir barkod yalnızca tek bir ürüne ait olmalı. Bu ürünün kutusundaki/etiketindeki gerçek barkodu yazın; bu barkod başka bir ürüne aitse bu ürüne yeni barkod verin. (DNC_038 aynı ürünün farklı ön ekli kodu olarak değerlendirildi.)</t>
        </is>
      </c>
      <c r="I46" s="19" t="n"/>
      <c r="J46" s="19" t="n"/>
      <c r="K46" s="19" t="n"/>
    </row>
    <row r="47">
      <c r="A47" s="15" t="n">
        <v>46</v>
      </c>
      <c r="B47" s="15" t="inlineStr">
        <is>
          <t>B27</t>
        </is>
      </c>
      <c r="C47" s="20" t="inlineStr">
        <is>
          <t>ORTAK BARKOD</t>
        </is>
      </c>
      <c r="D47" s="15" t="n">
        <v>130</v>
      </c>
      <c r="E47" s="17" t="inlineStr">
        <is>
          <t>DNC_038</t>
        </is>
      </c>
      <c r="F47" s="17" t="inlineStr">
        <is>
          <t>DNC-038 PASTA MAŞASI</t>
        </is>
      </c>
      <c r="G47" s="18" t="inlineStr">
        <is>
          <t>8683613550715</t>
        </is>
      </c>
      <c r="H47" s="17" t="inlineStr">
        <is>
          <t>Bu barkod farklı ürünlerde de kullanılmış: DNC_175 (DNC_175  MİRA GOLD SOS SERVİS KEPÇE). Bir barkod yalnızca tek bir ürüne ait olmalı. Bu ürünün kutusundaki/etiketindeki gerçek barkodu yazın; bu barkod başka bir ürüne aitse bu ürüne yeni barkod verin. (COŞ_D038 aynı ürünün farklı ön ekli kodu olarak değerlendirildi.)</t>
        </is>
      </c>
      <c r="I47" s="19" t="n"/>
      <c r="J47" s="19" t="n"/>
      <c r="K47" s="19" t="n"/>
    </row>
    <row r="48">
      <c r="A48" s="15" t="n">
        <v>47</v>
      </c>
      <c r="B48" s="15" t="inlineStr">
        <is>
          <t>B27</t>
        </is>
      </c>
      <c r="C48" s="20" t="inlineStr">
        <is>
          <t>ORTAK BARKOD</t>
        </is>
      </c>
      <c r="D48" s="15" t="n">
        <v>183</v>
      </c>
      <c r="E48" s="17" t="inlineStr">
        <is>
          <t>DNC_175</t>
        </is>
      </c>
      <c r="F48" s="17" t="inlineStr">
        <is>
          <t>DNC_175  MİRA GOLD SOS SERVİS KEPÇE</t>
        </is>
      </c>
      <c r="G48" s="18" t="inlineStr">
        <is>
          <t>8683613550715</t>
        </is>
      </c>
      <c r="H48" s="17" t="inlineStr">
        <is>
          <t>Bu barkod farklı ürünlerde de kullanılmış: COŞ_D038 (COŞ_D 038 PASTA MAŞASI); DNC_038 (DNC-038 PASTA MAŞASI). Bir barkod yalnızca tek bir ürüne ait olmalı. Bu ürünün kutusundaki/etiketindeki gerçek barkodu yazın; bu barkod başka bir ürüne aitse bu ürüne yeni barkod verin.</t>
        </is>
      </c>
      <c r="I48" s="19" t="n"/>
      <c r="J48" s="19" t="n"/>
      <c r="K48" s="19" t="n"/>
    </row>
    <row r="49">
      <c r="A49" s="15" t="n">
        <v>48</v>
      </c>
      <c r="B49" s="15" t="inlineStr">
        <is>
          <t>B28</t>
        </is>
      </c>
      <c r="C49" s="20" t="inlineStr">
        <is>
          <t>ORTAK BARKOD</t>
        </is>
      </c>
      <c r="D49" s="15" t="n">
        <v>27</v>
      </c>
      <c r="E49" s="17" t="inlineStr">
        <is>
          <t>COŞ_D036</t>
        </is>
      </c>
      <c r="F49" s="17" t="inlineStr">
        <is>
          <t>COŞ_D 036 MAKARNA MAŞASI</t>
        </is>
      </c>
      <c r="G49" s="18" t="inlineStr">
        <is>
          <t>8683613550722</t>
        </is>
      </c>
      <c r="H49" s="17" t="inlineStr">
        <is>
          <t>Bu barkod farklı ürünlerde de kullanılmış: DNC_176 (DNC_176  MİRA GOLD SOS SERVİS KEVGİR). Bir barkod yalnızca tek bir ürüne ait olmalı. Bu ürünün kutusundaki/etiketindeki gerçek barkodu yazın; bu barkod başka bir ürüne aitse bu ürüne yeni barkod verin. (DNC_036 aynı ürünün farklı ön ekli kodu olarak değerlendirildi.)</t>
        </is>
      </c>
      <c r="I49" s="19" t="n"/>
      <c r="J49" s="19" t="n"/>
      <c r="K49" s="19" t="n"/>
    </row>
    <row r="50">
      <c r="A50" s="15" t="n">
        <v>49</v>
      </c>
      <c r="B50" s="15" t="inlineStr">
        <is>
          <t>B28</t>
        </is>
      </c>
      <c r="C50" s="20" t="inlineStr">
        <is>
          <t>ORTAK BARKOD</t>
        </is>
      </c>
      <c r="D50" s="15" t="n">
        <v>107</v>
      </c>
      <c r="E50" s="17" t="inlineStr">
        <is>
          <t>DNC_036</t>
        </is>
      </c>
      <c r="F50" s="17" t="inlineStr">
        <is>
          <t>DNC-036 MAKARNA MAŞASI</t>
        </is>
      </c>
      <c r="G50" s="18" t="inlineStr">
        <is>
          <t>8683613550722</t>
        </is>
      </c>
      <c r="H50" s="17" t="inlineStr">
        <is>
          <t>Bu barkod farklı ürünlerde de kullanılmış: DNC_176 (DNC_176  MİRA GOLD SOS SERVİS KEVGİR). Bir barkod yalnızca tek bir ürüne ait olmalı. Bu ürünün kutusundaki/etiketindeki gerçek barkodu yazın; bu barkod başka bir ürüne aitse bu ürüne yeni barkod verin. (COŞ_D036 aynı ürünün farklı ön ekli kodu olarak değerlendirildi.)</t>
        </is>
      </c>
      <c r="I50" s="19" t="n"/>
      <c r="J50" s="19" t="n"/>
      <c r="K50" s="19" t="n"/>
    </row>
    <row r="51">
      <c r="A51" s="15" t="n">
        <v>50</v>
      </c>
      <c r="B51" s="15" t="inlineStr">
        <is>
          <t>B28</t>
        </is>
      </c>
      <c r="C51" s="20" t="inlineStr">
        <is>
          <t>ORTAK BARKOD</t>
        </is>
      </c>
      <c r="D51" s="15" t="n">
        <v>184</v>
      </c>
      <c r="E51" s="17" t="inlineStr">
        <is>
          <t>DNC_176</t>
        </is>
      </c>
      <c r="F51" s="17" t="inlineStr">
        <is>
          <t>DNC_176  MİRA GOLD SOS SERVİS KEVGİR</t>
        </is>
      </c>
      <c r="G51" s="18" t="inlineStr">
        <is>
          <t>8683613550722</t>
        </is>
      </c>
      <c r="H51" s="17" t="inlineStr">
        <is>
          <t>Bu barkod farklı ürünlerde de kullanılmış: COŞ_D036 (COŞ_D 036 MAKARNA MAŞASI); DNC_036 (DNC-036 MAKARNA MAŞASI). Bir barkod yalnızca tek bir ürüne ait olmalı. Bu ürünün kutusundaki/etiketindeki gerçek barkodu yazın; bu barkod başka bir ürüne aitse bu ürüne yeni barkod verin.</t>
        </is>
      </c>
      <c r="I51" s="19" t="n"/>
      <c r="J51" s="19" t="n"/>
      <c r="K51" s="19" t="n"/>
    </row>
    <row r="52">
      <c r="A52" s="15" t="n">
        <v>51</v>
      </c>
      <c r="B52" s="15" t="inlineStr">
        <is>
          <t>B29</t>
        </is>
      </c>
      <c r="C52" s="20" t="inlineStr">
        <is>
          <t>ORTAK BARKOD</t>
        </is>
      </c>
      <c r="D52" s="15" t="n">
        <v>32</v>
      </c>
      <c r="E52" s="17" t="inlineStr">
        <is>
          <t>COŞ_D150</t>
        </is>
      </c>
      <c r="F52" s="17" t="inlineStr">
        <is>
          <t>COŞ_D 150  ŞEKER  MAŞASI 1 ADET</t>
        </is>
      </c>
      <c r="G52" s="18" t="inlineStr">
        <is>
          <t>8683613550739</t>
        </is>
      </c>
      <c r="H52" s="17" t="inlineStr">
        <is>
          <t>Bu barkod farklı ürünlerde de kullanılmış: DNC_177 (DNC_177  MİRA GOLD SOS SERVİS KAŞIK). Bir barkod yalnızca tek bir ürüne ait olmalı. Bu ürünün kutusundaki/etiketindeki gerçek barkodu yazın; bu barkod başka bir ürüne aitse bu ürüne yeni barkod verin. (DNC_150 aynı ürünün farklı ön ekli kodu olarak değerlendirildi.)</t>
        </is>
      </c>
      <c r="I52" s="19" t="n"/>
      <c r="J52" s="19" t="n"/>
      <c r="K52" s="19" t="n"/>
    </row>
    <row r="53">
      <c r="A53" s="15" t="n">
        <v>52</v>
      </c>
      <c r="B53" s="15" t="inlineStr">
        <is>
          <t>B29</t>
        </is>
      </c>
      <c r="C53" s="20" t="inlineStr">
        <is>
          <t>ORTAK BARKOD</t>
        </is>
      </c>
      <c r="D53" s="15" t="n">
        <v>129</v>
      </c>
      <c r="E53" s="17" t="inlineStr">
        <is>
          <t>DNC_150</t>
        </is>
      </c>
      <c r="F53" s="17" t="inlineStr">
        <is>
          <t>DNC-150  ŞEKER  MAŞASI 1 ADET</t>
        </is>
      </c>
      <c r="G53" s="18" t="inlineStr">
        <is>
          <t>8683613550739</t>
        </is>
      </c>
      <c r="H53" s="17" t="inlineStr">
        <is>
          <t>Bu barkod farklı ürünlerde de kullanılmış: DNC_177 (DNC_177  MİRA GOLD SOS SERVİS KAŞIK). Bir barkod yalnızca tek bir ürüne ait olmalı. Bu ürünün kutusundaki/etiketindeki gerçek barkodu yazın; bu barkod başka bir ürüne aitse bu ürüne yeni barkod verin. (COŞ_D150 aynı ürünün farklı ön ekli kodu olarak değerlendirildi.)</t>
        </is>
      </c>
      <c r="I53" s="19" t="n"/>
      <c r="J53" s="19" t="n"/>
      <c r="K53" s="19" t="n"/>
    </row>
    <row r="54">
      <c r="A54" s="15" t="n">
        <v>53</v>
      </c>
      <c r="B54" s="15" t="inlineStr">
        <is>
          <t>B29</t>
        </is>
      </c>
      <c r="C54" s="20" t="inlineStr">
        <is>
          <t>ORTAK BARKOD</t>
        </is>
      </c>
      <c r="D54" s="15" t="n">
        <v>185</v>
      </c>
      <c r="E54" s="17" t="inlineStr">
        <is>
          <t>DNC_177</t>
        </is>
      </c>
      <c r="F54" s="17" t="inlineStr">
        <is>
          <t>DNC_177  MİRA GOLD SOS SERVİS KAŞIK</t>
        </is>
      </c>
      <c r="G54" s="18" t="inlineStr">
        <is>
          <t>8683613550739</t>
        </is>
      </c>
      <c r="H54" s="17" t="inlineStr">
        <is>
          <t>Bu barkod farklı ürünlerde de kullanılmış: COŞ_D150 (COŞ_D 150  ŞEKER  MAŞASI 1 ADET); DNC_150 (DNC-150  ŞEKER  MAŞASI 1 ADET). Bir barkod yalnızca tek bir ürüne ait olmalı. Bu ürünün kutusundaki/etiketindeki gerçek barkodu yazın; bu barkod başka bir ürüne aitse bu ürüne yeni barkod verin.</t>
        </is>
      </c>
      <c r="I54" s="19" t="n"/>
      <c r="J54" s="19" t="n"/>
      <c r="K54" s="19" t="n"/>
    </row>
    <row r="55">
      <c r="A55" s="15" t="n">
        <v>54</v>
      </c>
      <c r="B55" s="15" t="inlineStr">
        <is>
          <t>B30</t>
        </is>
      </c>
      <c r="C55" s="20" t="inlineStr">
        <is>
          <t>ORTAK BARKOD</t>
        </is>
      </c>
      <c r="D55" s="15" t="n">
        <v>36</v>
      </c>
      <c r="E55" s="17" t="inlineStr">
        <is>
          <t>COŞ_D180</t>
        </is>
      </c>
      <c r="F55" s="17" t="inlineStr">
        <is>
          <t>COŞ_D 180 İSTİRİDYE GOLD ÇAY KAŞIK 6,LI</t>
        </is>
      </c>
      <c r="G55" s="18" t="inlineStr">
        <is>
          <t>8683613550760</t>
        </is>
      </c>
      <c r="H55" s="17" t="inlineStr">
        <is>
          <t>Bu barkod farklı ürünlerde de kullanılmış: DNC_153 (DNC-153 5,Lİ SOS SERVİS TÜY GOLD); DNC_141 (DNC_141 OKYANUS SOS SERVİS KEPÇE). Bir barkod yalnızca tek bir ürüne ait olmalı. Bu ürünün kutusundaki/etiketindeki gerçek barkodu yazın; bu barkod başka bir ürüne aitse bu ürüne yeni barkod verin. (DNC_180 aynı ürünün farklı ön ekli kodu olarak değerlendirildi.)</t>
        </is>
      </c>
      <c r="I55" s="19" t="n"/>
      <c r="J55" s="19" t="n"/>
      <c r="K55" s="19" t="n"/>
    </row>
    <row r="56">
      <c r="A56" s="15" t="n">
        <v>55</v>
      </c>
      <c r="B56" s="15" t="inlineStr">
        <is>
          <t>B30</t>
        </is>
      </c>
      <c r="C56" s="20" t="inlineStr">
        <is>
          <t>ORTAK BARKOD</t>
        </is>
      </c>
      <c r="D56" s="15" t="n">
        <v>165</v>
      </c>
      <c r="E56" s="17" t="inlineStr">
        <is>
          <t>DNC_141</t>
        </is>
      </c>
      <c r="F56" s="17" t="inlineStr">
        <is>
          <t>DNC_141 OKYANUS SOS SERVİS KEPÇE</t>
        </is>
      </c>
      <c r="G56" s="18" t="inlineStr">
        <is>
          <t>8683613550760</t>
        </is>
      </c>
      <c r="H56" s="17" t="inlineStr">
        <is>
          <t>Bu barkod farklı ürünlerde de kullanılmış: DNC_153 (DNC-153 5,Lİ SOS SERVİS TÜY GOLD); COŞ_D180 (COŞ_D 180 İSTİRİDYE GOLD ÇAY KAŞIK 6,LI); DNC_180 (DNC_180 İSTİRİDYE GOLD ÇAY KAŞIK 6,LI). Bir barkod yalnızca tek bir ürüne ait olmalı. Bu ürünün kutusundaki/etiketindeki gerçek barkodu yazın; bu barkod başka bir ürüne aitse bu ürüne yeni barkod verin.</t>
        </is>
      </c>
      <c r="I56" s="19" t="n"/>
      <c r="J56" s="19" t="n"/>
      <c r="K56" s="19" t="n"/>
    </row>
    <row r="57">
      <c r="A57" s="15" t="n">
        <v>56</v>
      </c>
      <c r="B57" s="15" t="inlineStr">
        <is>
          <t>B30</t>
        </is>
      </c>
      <c r="C57" s="20" t="inlineStr">
        <is>
          <t>ORTAK BARKOD</t>
        </is>
      </c>
      <c r="D57" s="15" t="n">
        <v>4</v>
      </c>
      <c r="E57" s="17" t="inlineStr">
        <is>
          <t>DNC_153</t>
        </is>
      </c>
      <c r="F57" s="17" t="inlineStr">
        <is>
          <t>DNC-153 5,Lİ SOS SERVİS TÜY GOLD</t>
        </is>
      </c>
      <c r="G57" s="18" t="inlineStr">
        <is>
          <t>8683613550760</t>
        </is>
      </c>
      <c r="H57" s="17" t="inlineStr">
        <is>
          <t>Bu barkod farklı ürünlerde de kullanılmış: COŞ_D180 (COŞ_D 180 İSTİRİDYE GOLD ÇAY KAŞIK 6,LI); DNC_180 (DNC_180 İSTİRİDYE GOLD ÇAY KAŞIK 6,LI); DNC_141 (DNC_141 OKYANUS SOS SERVİS KEPÇE). Bir barkod yalnızca tek bir ürüne ait olmalı. Bu ürünün kutusundaki/etiketindeki gerçek barkodu yazın; bu barkod başka bir ürüne aitse bu ürüne yeni barkod verin.</t>
        </is>
      </c>
      <c r="I57" s="19" t="n"/>
      <c r="J57" s="19" t="n"/>
      <c r="K57" s="19" t="n"/>
    </row>
    <row r="58">
      <c r="A58" s="15" t="n">
        <v>57</v>
      </c>
      <c r="B58" s="15" t="inlineStr">
        <is>
          <t>B30</t>
        </is>
      </c>
      <c r="C58" s="20" t="inlineStr">
        <is>
          <t>ORTAK BARKOD</t>
        </is>
      </c>
      <c r="D58" s="15" t="n">
        <v>136</v>
      </c>
      <c r="E58" s="17" t="inlineStr">
        <is>
          <t>DNC_180</t>
        </is>
      </c>
      <c r="F58" s="17" t="inlineStr">
        <is>
          <t>DNC_180 İSTİRİDYE GOLD ÇAY KAŞIK 6,LI</t>
        </is>
      </c>
      <c r="G58" s="18" t="inlineStr">
        <is>
          <t>8683613550760</t>
        </is>
      </c>
      <c r="H58" s="17" t="inlineStr">
        <is>
          <t>Bu barkod farklı ürünlerde de kullanılmış: DNC_153 (DNC-153 5,Lİ SOS SERVİS TÜY GOLD); DNC_141 (DNC_141 OKYANUS SOS SERVİS KEPÇE). Bir barkod yalnızca tek bir ürüne ait olmalı. Bu ürünün kutusundaki/etiketindeki gerçek barkodu yazın; bu barkod başka bir ürüne aitse bu ürüne yeni barkod verin. (COŞ_D180 aynı ürünün farklı ön ekli kodu olarak değerlendirildi.)</t>
        </is>
      </c>
      <c r="I58" s="19" t="n"/>
      <c r="J58" s="19" t="n"/>
      <c r="K58" s="19" t="n"/>
    </row>
    <row r="59">
      <c r="A59" s="15" t="n">
        <v>58</v>
      </c>
      <c r="B59" s="15" t="inlineStr">
        <is>
          <t>B31</t>
        </is>
      </c>
      <c r="C59" s="20" t="inlineStr">
        <is>
          <t>ORTAK BARKOD</t>
        </is>
      </c>
      <c r="D59" s="15" t="n">
        <v>166</v>
      </c>
      <c r="E59" s="17" t="inlineStr">
        <is>
          <t>DNC_142</t>
        </is>
      </c>
      <c r="F59" s="17" t="inlineStr">
        <is>
          <t>DNC_142 OKYANUS SOS SERVİS KEVGİR</t>
        </is>
      </c>
      <c r="G59" s="18" t="inlineStr">
        <is>
          <t>8683613550777</t>
        </is>
      </c>
      <c r="H59" s="17" t="inlineStr">
        <is>
          <t>Bu barkod farklı ürünlerde de kullanılmış: DNC_154 (DNC-154 5,Lİ SOS SERVİS SET GÜMÜŞ TÜY). Bir barkod yalnızca tek bir ürüne ait olmalı. Bu ürünün kutusundaki/etiketindeki gerçek barkodu yazın; bu barkod başka bir ürüne aitse bu ürüne yeni barkod verin.</t>
        </is>
      </c>
      <c r="I59" s="19" t="n"/>
      <c r="J59" s="19" t="n"/>
      <c r="K59" s="19" t="n"/>
    </row>
    <row r="60">
      <c r="A60" s="15" t="n">
        <v>59</v>
      </c>
      <c r="B60" s="15" t="inlineStr">
        <is>
          <t>B31</t>
        </is>
      </c>
      <c r="C60" s="20" t="inlineStr">
        <is>
          <t>ORTAK BARKOD</t>
        </is>
      </c>
      <c r="D60" s="15" t="n">
        <v>5</v>
      </c>
      <c r="E60" s="17" t="inlineStr">
        <is>
          <t>DNC_154</t>
        </is>
      </c>
      <c r="F60" s="17" t="inlineStr">
        <is>
          <t>DNC-154 5,Lİ SOS SERVİS SET GÜMÜŞ TÜY</t>
        </is>
      </c>
      <c r="G60" s="18" t="inlineStr">
        <is>
          <t>8683613550777</t>
        </is>
      </c>
      <c r="H60" s="17" t="inlineStr">
        <is>
          <t>Bu barkod farklı ürünlerde de kullanılmış: DNC_142 (DNC_142 OKYANUS SOS SERVİS KEVGİR). Bir barkod yalnızca tek bir ürüne ait olmalı. Bu ürünün kutusundaki/etiketindeki gerçek barkodu yazın; bu barkod başka bir ürüne aitse bu ürüne yeni barkod verin.</t>
        </is>
      </c>
      <c r="I60" s="19" t="n"/>
      <c r="J60" s="19" t="n"/>
      <c r="K60" s="19" t="n"/>
    </row>
    <row r="61">
      <c r="A61" s="15" t="n">
        <v>60</v>
      </c>
      <c r="B61" s="15" t="inlineStr">
        <is>
          <t>B32</t>
        </is>
      </c>
      <c r="C61" s="20" t="inlineStr">
        <is>
          <t>ORTAK BARKOD</t>
        </is>
      </c>
      <c r="D61" s="15" t="n">
        <v>112</v>
      </c>
      <c r="E61" s="17" t="inlineStr">
        <is>
          <t>DNC_042</t>
        </is>
      </c>
      <c r="F61" s="17" t="inlineStr">
        <is>
          <t>DNC-042 MAŞA SET GOLD BEYAZ</t>
        </is>
      </c>
      <c r="G61" s="18" t="inlineStr">
        <is>
          <t>8683613550784</t>
        </is>
      </c>
      <c r="H61" s="17" t="inlineStr">
        <is>
          <t>Bu barkod farklı ürünlerde de kullanılmış: DNC_182 (DNC_182 LİLİUM GÜMÜŞ AMBER SOS SERVİS SET); DNC_143 (DNC_143 OKYANUS SOS SERVİS KAŞIK); DNC_155 (DNC-155 6,LI TİTANİUM DONDURMA KAŞIK). Bir barkod yalnızca tek bir ürüne ait olmalı. Bu ürünün kutusundaki/etiketindeki gerçek barkodu yazın; bu barkod başka bir ürüne aitse bu ürüne yeni barkod verin.</t>
        </is>
      </c>
      <c r="I61" s="19" t="n"/>
      <c r="J61" s="19" t="n"/>
      <c r="K61" s="19" t="n"/>
    </row>
    <row r="62">
      <c r="A62" s="15" t="n">
        <v>61</v>
      </c>
      <c r="B62" s="15" t="inlineStr">
        <is>
          <t>B32</t>
        </is>
      </c>
      <c r="C62" s="20" t="inlineStr">
        <is>
          <t>ORTAK BARKOD</t>
        </is>
      </c>
      <c r="D62" s="15" t="n">
        <v>167</v>
      </c>
      <c r="E62" s="17" t="inlineStr">
        <is>
          <t>DNC_143</t>
        </is>
      </c>
      <c r="F62" s="17" t="inlineStr">
        <is>
          <t>DNC_143 OKYANUS SOS SERVİS KAŞIK</t>
        </is>
      </c>
      <c r="G62" s="18" t="inlineStr">
        <is>
          <t>8683613550784</t>
        </is>
      </c>
      <c r="H62" s="17" t="inlineStr">
        <is>
          <t>Bu barkod farklı ürünlerde de kullanılmış: DNC_182 (DNC_182 LİLİUM GÜMÜŞ AMBER SOS SERVİS SET); DNC_042 (DNC-042 MAŞA SET GOLD BEYAZ); DNC_155 (DNC-155 6,LI TİTANİUM DONDURMA KAŞIK). Bir barkod yalnızca tek bir ürüne ait olmalı. Bu ürünün kutusundaki/etiketindeki gerçek barkodu yazın; bu barkod başka bir ürüne aitse bu ürüne yeni barkod verin.</t>
        </is>
      </c>
      <c r="I62" s="19" t="n"/>
      <c r="J62" s="19" t="n"/>
      <c r="K62" s="19" t="n"/>
    </row>
    <row r="63">
      <c r="A63" s="15" t="n">
        <v>62</v>
      </c>
      <c r="B63" s="15" t="inlineStr">
        <is>
          <t>B32</t>
        </is>
      </c>
      <c r="C63" s="20" t="inlineStr">
        <is>
          <t>ORTAK BARKOD</t>
        </is>
      </c>
      <c r="D63" s="15" t="n">
        <v>235</v>
      </c>
      <c r="E63" s="17" t="inlineStr">
        <is>
          <t>DNC_155</t>
        </is>
      </c>
      <c r="F63" s="17" t="inlineStr">
        <is>
          <t>DNC-155 6,LI TİTANİUM DONDURMA KAŞIK</t>
        </is>
      </c>
      <c r="G63" s="18" t="inlineStr">
        <is>
          <t>8683613550784</t>
        </is>
      </c>
      <c r="H63" s="17" t="inlineStr">
        <is>
          <t>Bu barkod farklı ürünlerde de kullanılmış: DNC_182 (DNC_182 LİLİUM GÜMÜŞ AMBER SOS SERVİS SET); DNC_042 (DNC-042 MAŞA SET GOLD BEYAZ); DNC_143 (DNC_143 OKYANUS SOS SERVİS KAŞIK). Bir barkod yalnızca tek bir ürüne ait olmalı. Bu ürünün kutusundaki/etiketindeki gerçek barkodu yazın; bu barkod başka bir ürüne aitse bu ürüne yeni barkod verin.</t>
        </is>
      </c>
      <c r="I63" s="19" t="n"/>
      <c r="J63" s="19" t="n"/>
      <c r="K63" s="19" t="n"/>
    </row>
    <row r="64">
      <c r="A64" s="15" t="n">
        <v>63</v>
      </c>
      <c r="B64" s="15" t="inlineStr">
        <is>
          <t>B32</t>
        </is>
      </c>
      <c r="C64" s="20" t="inlineStr">
        <is>
          <t>ORTAK BARKOD</t>
        </is>
      </c>
      <c r="D64" s="15" t="n">
        <v>9</v>
      </c>
      <c r="E64" s="17" t="inlineStr">
        <is>
          <t>DNC_182</t>
        </is>
      </c>
      <c r="F64" s="17" t="inlineStr">
        <is>
          <t>DNC_182 LİLİUM GÜMÜŞ AMBER SOS SERVİS SET</t>
        </is>
      </c>
      <c r="G64" s="18" t="inlineStr">
        <is>
          <t>8683613550784</t>
        </is>
      </c>
      <c r="H64" s="17" t="inlineStr">
        <is>
          <t>Bu barkod farklı ürünlerde de kullanılmış: DNC_042 (DNC-042 MAŞA SET GOLD BEYAZ); DNC_143 (DNC_143 OKYANUS SOS SERVİS KAŞIK); DNC_155 (DNC-155 6,LI TİTANİUM DONDURMA KAŞIK). Bir barkod yalnızca tek bir ürüne ait olmalı. Bu ürünün kutusundaki/etiketindeki gerçek barkodu yazın; bu barkod başka bir ürüne aitse bu ürüne yeni barkod verin.</t>
        </is>
      </c>
      <c r="I64" s="19" t="n"/>
      <c r="J64" s="19" t="n"/>
      <c r="K64" s="19" t="n"/>
    </row>
    <row r="65">
      <c r="A65" s="15" t="n">
        <v>64</v>
      </c>
      <c r="B65" s="15" t="inlineStr">
        <is>
          <t>B33</t>
        </is>
      </c>
      <c r="C65" s="20" t="inlineStr">
        <is>
          <t>ORTAK BARKOD</t>
        </is>
      </c>
      <c r="D65" s="15" t="n">
        <v>168</v>
      </c>
      <c r="E65" s="17" t="inlineStr">
        <is>
          <t>DNC_144</t>
        </is>
      </c>
      <c r="F65" s="17" t="inlineStr">
        <is>
          <t>DNC_144 OKYANUS SOS SERVİS SPATULA</t>
        </is>
      </c>
      <c r="G65" s="18" t="inlineStr">
        <is>
          <t>8683613550791</t>
        </is>
      </c>
      <c r="H65" s="17" t="inlineStr">
        <is>
          <t>Bu barkod farklı ürünlerde de kullanılmış: DNC_183 (DNC_183 LİLİUM GOLD WHİTE SOS SERVİS SET); DNC_156 (DNC_156 6,LI LÜX ÇAY KAŞIK GOLD). Bir barkod yalnızca tek bir ürüne ait olmalı. Bu ürünün kutusundaki/etiketindeki gerçek barkodu yazın; bu barkod başka bir ürüne aitse bu ürüne yeni barkod verin.</t>
        </is>
      </c>
      <c r="I65" s="19" t="n"/>
      <c r="J65" s="19" t="n"/>
      <c r="K65" s="19" t="n"/>
    </row>
    <row r="66">
      <c r="A66" s="15" t="n">
        <v>65</v>
      </c>
      <c r="B66" s="15" t="inlineStr">
        <is>
          <t>B33</t>
        </is>
      </c>
      <c r="C66" s="20" t="inlineStr">
        <is>
          <t>ORTAK BARKOD</t>
        </is>
      </c>
      <c r="D66" s="15" t="n">
        <v>144</v>
      </c>
      <c r="E66" s="17" t="inlineStr">
        <is>
          <t>DNC_156</t>
        </is>
      </c>
      <c r="F66" s="17" t="inlineStr">
        <is>
          <t>DNC_156 6,LI LÜX ÇAY KAŞIK GOLD</t>
        </is>
      </c>
      <c r="G66" s="18" t="inlineStr">
        <is>
          <t>8683613550791</t>
        </is>
      </c>
      <c r="H66" s="17" t="inlineStr">
        <is>
          <t>Bu barkod farklı ürünlerde de kullanılmış: DNC_183 (DNC_183 LİLİUM GOLD WHİTE SOS SERVİS SET); DNC_144 (DNC_144 OKYANUS SOS SERVİS SPATULA). Bir barkod yalnızca tek bir ürüne ait olmalı. Bu ürünün kutusundaki/etiketindeki gerçek barkodu yazın; bu barkod başka bir ürüne aitse bu ürüne yeni barkod verin.</t>
        </is>
      </c>
      <c r="I66" s="19" t="n"/>
      <c r="J66" s="19" t="n"/>
      <c r="K66" s="19" t="n"/>
    </row>
    <row r="67">
      <c r="A67" s="15" t="n">
        <v>66</v>
      </c>
      <c r="B67" s="15" t="inlineStr">
        <is>
          <t>B33</t>
        </is>
      </c>
      <c r="C67" s="20" t="inlineStr">
        <is>
          <t>ORTAK BARKOD</t>
        </is>
      </c>
      <c r="D67" s="15" t="n">
        <v>10</v>
      </c>
      <c r="E67" s="17" t="inlineStr">
        <is>
          <t>DNC_183</t>
        </is>
      </c>
      <c r="F67" s="17" t="inlineStr">
        <is>
          <t>DNC_183 LİLİUM GOLD WHİTE SOS SERVİS SET</t>
        </is>
      </c>
      <c r="G67" s="18" t="inlineStr">
        <is>
          <t>8683613550791</t>
        </is>
      </c>
      <c r="H67" s="17" t="inlineStr">
        <is>
          <t>Bu barkod farklı ürünlerde de kullanılmış: DNC_156 (DNC_156 6,LI LÜX ÇAY KAŞIK GOLD); DNC_144 (DNC_144 OKYANUS SOS SERVİS SPATULA). Bir barkod yalnızca tek bir ürüne ait olmalı. Bu ürünün kutusundaki/etiketindeki gerçek barkodu yazın; bu barkod başka bir ürüne aitse bu ürüne yeni barkod verin.</t>
        </is>
      </c>
      <c r="I67" s="19" t="n"/>
      <c r="J67" s="19" t="n"/>
      <c r="K67" s="19" t="n"/>
    </row>
    <row r="68">
      <c r="A68" s="15" t="n">
        <v>67</v>
      </c>
      <c r="B68" s="15" t="inlineStr">
        <is>
          <t>B34</t>
        </is>
      </c>
      <c r="C68" s="20" t="inlineStr">
        <is>
          <t>ORTAK BARKOD</t>
        </is>
      </c>
      <c r="D68" s="15" t="n">
        <v>169</v>
      </c>
      <c r="E68" s="17" t="inlineStr">
        <is>
          <t>DNC_145</t>
        </is>
      </c>
      <c r="F68" s="17" t="inlineStr">
        <is>
          <t>DNC_145 OKYANUS SOS SERVİS ÇATAL</t>
        </is>
      </c>
      <c r="G68" s="18" t="inlineStr">
        <is>
          <t>8683613550807</t>
        </is>
      </c>
      <c r="H68" s="17" t="inlineStr">
        <is>
          <t>Bu barkod farklı ürünlerde de kullanılmış: DNC_184 (DNC_184 LİLİUM GOLD BLACK SOS SERVİS SET). Bir barkod yalnızca tek bir ürüne ait olmalı. Bu ürünün kutusundaki/etiketindeki gerçek barkodu yazın; bu barkod başka bir ürüne aitse bu ürüne yeni barkod verin.</t>
        </is>
      </c>
      <c r="I68" s="19" t="n"/>
      <c r="J68" s="19" t="n"/>
      <c r="K68" s="19" t="n"/>
    </row>
    <row r="69">
      <c r="A69" s="15" t="n">
        <v>68</v>
      </c>
      <c r="B69" s="15" t="inlineStr">
        <is>
          <t>B34</t>
        </is>
      </c>
      <c r="C69" s="20" t="inlineStr">
        <is>
          <t>ORTAK BARKOD</t>
        </is>
      </c>
      <c r="D69" s="15" t="n">
        <v>11</v>
      </c>
      <c r="E69" s="17" t="inlineStr">
        <is>
          <t>DNC_184</t>
        </is>
      </c>
      <c r="F69" s="17" t="inlineStr">
        <is>
          <t>DNC_184 LİLİUM GOLD BLACK SOS SERVİS SET</t>
        </is>
      </c>
      <c r="G69" s="18" t="inlineStr">
        <is>
          <t>8683613550807</t>
        </is>
      </c>
      <c r="H69" s="17" t="inlineStr">
        <is>
          <t>Bu barkod farklı ürünlerde de kullanılmış: DNC_145 (DNC_145 OKYANUS SOS SERVİS ÇATAL). Bir barkod yalnızca tek bir ürüne ait olmalı. Bu ürünün kutusundaki/etiketindeki gerçek barkodu yazın; bu barkod başka bir ürüne aitse bu ürüne yeni barkod verin.</t>
        </is>
      </c>
      <c r="I69" s="19" t="n"/>
      <c r="J69" s="19" t="n"/>
      <c r="K69" s="19" t="n"/>
    </row>
    <row r="70">
      <c r="A70" s="15" t="n">
        <v>69</v>
      </c>
      <c r="B70" s="15" t="inlineStr">
        <is>
          <t>B20</t>
        </is>
      </c>
      <c r="C70" s="20" t="inlineStr">
        <is>
          <t>KODA BİRDEN FAZLA BARKOD
AYNI ÜRÜN – FARKLI ÖNEK</t>
        </is>
      </c>
      <c r="D70" s="15" t="n">
        <v>120</v>
      </c>
      <c r="E70" s="17" t="inlineStr">
        <is>
          <t>DNC_123</t>
        </is>
      </c>
      <c r="F70" s="17" t="inlineStr">
        <is>
          <t>DNC-123 GÜMÜŞ KELEBEK MAŞA SET</t>
        </is>
      </c>
      <c r="G70" s="18" t="inlineStr">
        <is>
          <t>8683613550623</t>
        </is>
      </c>
      <c r="H70" s="17" t="inlineStr">
        <is>
          <t>• Bu barkod COŞ_D123 ile ortak. Kodlar aynı numarayı taşıyor; aynı ürünün farklı ön ekli kodu olduğunu düşünüyoruz. Doğruysa 'Üretici Açıklaması'na 'aynı ürün' yazın; farklı ürünlerse her birine ayrı barkod verin.
• DNC-123 koduna listede 2 farklı barkod verilmiş: 8683581657713, 8683613550623. Bu kodun doğru barkodu hangisi? Diğer barkod hangi ürüne aitse belirtin.</t>
        </is>
      </c>
      <c r="I70" s="19" t="n"/>
      <c r="J70" s="19" t="n"/>
      <c r="K70" s="19" t="n"/>
    </row>
    <row r="71">
      <c r="A71" s="15" t="n">
        <v>70</v>
      </c>
      <c r="B71" s="15" t="inlineStr"/>
      <c r="C71" s="20" t="inlineStr">
        <is>
          <t>KODA BİRDEN FAZLA BARKOD</t>
        </is>
      </c>
      <c r="D71" s="15" t="n">
        <v>151</v>
      </c>
      <c r="E71" s="17" t="inlineStr">
        <is>
          <t>DNC_071</t>
        </is>
      </c>
      <c r="F71" s="17" t="inlineStr">
        <is>
          <t>DNC-071 1 DZ OKYANUS YEMEK BIÇAK</t>
        </is>
      </c>
      <c r="G71" s="18" t="inlineStr">
        <is>
          <t>8683581657317</t>
        </is>
      </c>
      <c r="H71" s="17" t="inlineStr">
        <is>
          <t>DNC-071 koduna listede 2 farklı barkod verilmiş: 8683581657317, 8683581657331. Bu kodun doğru barkodu hangisi? Diğer barkod hangi ürüne aitse belirtin.</t>
        </is>
      </c>
      <c r="I71" s="19" t="n"/>
      <c r="J71" s="19" t="n"/>
      <c r="K71" s="19" t="n"/>
    </row>
    <row r="72">
      <c r="A72" s="15" t="n">
        <v>71</v>
      </c>
      <c r="B72" s="15" t="inlineStr"/>
      <c r="C72" s="20" t="inlineStr">
        <is>
          <t>KODA BİRDEN FAZLA BARKOD
ÖNCEKİ LİSTEYLE ÇELİŞKİ</t>
        </is>
      </c>
      <c r="D72" s="15" t="n">
        <v>149</v>
      </c>
      <c r="E72" s="17" t="inlineStr">
        <is>
          <t>DNC_071</t>
        </is>
      </c>
      <c r="F72" s="17" t="inlineStr">
        <is>
          <t>DNC-071 1 DZ OKYANUS TATLI ÇATAL</t>
        </is>
      </c>
      <c r="G72" s="18" t="inlineStr">
        <is>
          <t>8683581657331</t>
        </is>
      </c>
      <c r="H72" s="17" t="inlineStr">
        <is>
          <t>• DNC-071 koduna listede 2 farklı barkod verilmiş: 8683581657317, 8683581657331. Bu kodun doğru barkodu hangisi? Diğer barkod hangi ürüne aitse belirtin.
• Önceki listenizde DNC-071 kodunun barkodu 8683581657317 idi, bu listede 8683581657331. Bu barkod önceki listede DNC-069 koduna aitti. Hangisi doğru?</t>
        </is>
      </c>
      <c r="I72" s="19" t="n"/>
      <c r="J72" s="19" t="n"/>
      <c r="K72" s="19" t="n"/>
    </row>
    <row r="73">
      <c r="A73" s="15" t="n">
        <v>72</v>
      </c>
      <c r="B73" s="15" t="inlineStr"/>
      <c r="C73" s="20" t="inlineStr">
        <is>
          <t>KODA BİRDEN FAZLA BARKOD
ÖNCEKİ LİSTEYLE ÇELİŞKİ</t>
        </is>
      </c>
      <c r="D73" s="15" t="n">
        <v>150</v>
      </c>
      <c r="E73" s="17" t="inlineStr">
        <is>
          <t>DNC_072</t>
        </is>
      </c>
      <c r="F73" s="17" t="inlineStr">
        <is>
          <t>DNC-072 1 DZ OKYANUS ÇAY KAŞIK</t>
        </is>
      </c>
      <c r="G73" s="18" t="inlineStr">
        <is>
          <t>8683581657348</t>
        </is>
      </c>
      <c r="H73" s="17" t="inlineStr">
        <is>
          <t>• DNC-072 koduna listede 2 farklı barkod verilmiş: 8683581657348, 8683581657836. Bu kodun doğru barkodu hangisi? Diğer barkod hangi ürüne aitse belirtin.
• Önceki listenizde DNC-072 kodunun barkodu 8683581657836 idi, bu listede 8683581657348. Bu barkod önceki listede DNC-070 koduna aitti. Hangisi doğru?</t>
        </is>
      </c>
      <c r="I73" s="19" t="n"/>
      <c r="J73" s="19" t="n"/>
      <c r="K73" s="19" t="n"/>
    </row>
    <row r="74">
      <c r="A74" s="15" t="n">
        <v>73</v>
      </c>
      <c r="B74" s="15" t="inlineStr"/>
      <c r="C74" s="20" t="inlineStr">
        <is>
          <t>KODA BİRDEN FAZLA BARKOD</t>
        </is>
      </c>
      <c r="D74" s="15" t="n">
        <v>212</v>
      </c>
      <c r="E74" s="17" t="inlineStr">
        <is>
          <t>DNC_024</t>
        </is>
      </c>
      <c r="F74" s="17" t="inlineStr">
        <is>
          <t>DNC-024 PLATİN 36 PRÇ GOLD BEYAZ Ç.K.B SET</t>
        </is>
      </c>
      <c r="G74" s="18" t="inlineStr">
        <is>
          <t>8683581657553</t>
        </is>
      </c>
      <c r="H74" s="17" t="inlineStr">
        <is>
          <t>DNC-024 koduna listede 2 farklı barkod verilmiş: 8683581657553, 8683581657935. Bu kodun doğru barkodu hangisi? Diğer barkod hangi ürüne aitse belirtin.</t>
        </is>
      </c>
      <c r="I74" s="19" t="n"/>
      <c r="J74" s="19" t="n"/>
      <c r="K74" s="19" t="n"/>
    </row>
    <row r="75">
      <c r="A75" s="15" t="n">
        <v>74</v>
      </c>
      <c r="B75" s="15" t="inlineStr"/>
      <c r="C75" s="20" t="inlineStr">
        <is>
          <t>KODA BİRDEN FAZLA BARKOD</t>
        </is>
      </c>
      <c r="D75" s="15" t="n">
        <v>131</v>
      </c>
      <c r="E75" s="17" t="inlineStr">
        <is>
          <t>DNC_119</t>
        </is>
      </c>
      <c r="F75" s="17" t="inlineStr">
        <is>
          <t>DNC_119 6'LI MİDYE KAŞIK GOLD SİYAH SET</t>
        </is>
      </c>
      <c r="G75" s="18" t="inlineStr">
        <is>
          <t>8683581657607</t>
        </is>
      </c>
      <c r="H75" s="17" t="inlineStr">
        <is>
          <t>DNC-119 koduna listede 2 farklı barkod verilmiş: 8683581657607, 8683581657980. Bu kodun doğru barkodu hangisi? Diğer barkod hangi ürüne aitse belirtin.</t>
        </is>
      </c>
      <c r="I75" s="19" t="n"/>
      <c r="J75" s="19" t="n"/>
      <c r="K75" s="19" t="n"/>
    </row>
    <row r="76">
      <c r="A76" s="15" t="n">
        <v>75</v>
      </c>
      <c r="B76" s="15" t="inlineStr"/>
      <c r="C76" s="20" t="inlineStr">
        <is>
          <t>KODA BİRDEN FAZLA BARKOD
ÖNCEKİ LİSTEYLE ÇELİŞKİ</t>
        </is>
      </c>
      <c r="D76" s="15" t="n">
        <v>96</v>
      </c>
      <c r="E76" s="17" t="inlineStr">
        <is>
          <t>DNC_123</t>
        </is>
      </c>
      <c r="F76" s="17" t="inlineStr">
        <is>
          <t>DNC-123 30 PRÇ GÜMÜŞ ÇKB SET</t>
        </is>
      </c>
      <c r="G76" s="18" t="inlineStr">
        <is>
          <t>8683581657713</t>
        </is>
      </c>
      <c r="H76" s="17" t="inlineStr">
        <is>
          <t>• DNC-123 koduna listede 2 farklı barkod verilmiş: 8683581657713, 8683613550623. Bu kodun doğru barkodu hangisi? Diğer barkod hangi ürüne aitse belirtin.
• Önceki listenizde DNC-123 kodunun barkodu 8683613550623 idi, bu listede 8683581657713. Bu barkod önceki listede DNC-122 koduna aitti. Hangisi doğru?</t>
        </is>
      </c>
      <c r="I76" s="19" t="n"/>
      <c r="J76" s="19" t="n"/>
      <c r="K76" s="19" t="n"/>
    </row>
    <row r="77">
      <c r="A77" s="15" t="n">
        <v>76</v>
      </c>
      <c r="B77" s="15" t="inlineStr"/>
      <c r="C77" s="20" t="inlineStr">
        <is>
          <t>KODA BİRDEN FAZLA BARKOD</t>
        </is>
      </c>
      <c r="D77" s="15" t="n">
        <v>152</v>
      </c>
      <c r="E77" s="17" t="inlineStr">
        <is>
          <t>DNC_072</t>
        </is>
      </c>
      <c r="F77" s="17" t="inlineStr">
        <is>
          <t>DNC-072 OKYANUS 30 PRÇ ÇKB SET</t>
        </is>
      </c>
      <c r="G77" s="18" t="inlineStr">
        <is>
          <t>8683581657836</t>
        </is>
      </c>
      <c r="H77" s="17" t="inlineStr">
        <is>
          <t>DNC-072 koduna listede 2 farklı barkod verilmiş: 8683581657348, 8683581657836. Bu kodun doğru barkodu hangisi? Diğer barkod hangi ürüne aitse belirtin.</t>
        </is>
      </c>
      <c r="I77" s="19" t="n"/>
      <c r="J77" s="19" t="n"/>
      <c r="K77" s="19" t="n"/>
    </row>
    <row r="78">
      <c r="A78" s="15" t="n">
        <v>77</v>
      </c>
      <c r="B78" s="15" t="inlineStr"/>
      <c r="C78" s="20" t="inlineStr">
        <is>
          <t>KODA BİRDEN FAZLA BARKOD</t>
        </is>
      </c>
      <c r="D78" s="15" t="n">
        <v>211</v>
      </c>
      <c r="E78" s="17" t="inlineStr">
        <is>
          <t>DNC_024</t>
        </is>
      </c>
      <c r="F78" s="17" t="inlineStr">
        <is>
          <t>DNC-024PLATİN 24 PRÇ TİTANİUM SET</t>
        </is>
      </c>
      <c r="G78" s="18" t="inlineStr">
        <is>
          <t>8683581657935</t>
        </is>
      </c>
      <c r="H78" s="17" t="inlineStr">
        <is>
          <t>DNC-024 koduna listede 2 farklı barkod verilmiş: 8683581657553, 8683581657935. Bu kodun doğru barkodu hangisi? Diğer barkod hangi ürüne aitse belirtin.</t>
        </is>
      </c>
      <c r="I78" s="19" t="n"/>
      <c r="J78" s="19" t="n"/>
      <c r="K78" s="19" t="n"/>
    </row>
    <row r="79">
      <c r="A79" s="15" t="n">
        <v>78</v>
      </c>
      <c r="B79" s="15" t="inlineStr"/>
      <c r="C79" s="20" t="inlineStr">
        <is>
          <t>KODA BİRDEN FAZLA BARKOD</t>
        </is>
      </c>
      <c r="D79" s="15" t="n">
        <v>145</v>
      </c>
      <c r="E79" s="17" t="inlineStr">
        <is>
          <t>DNC_132</t>
        </is>
      </c>
      <c r="F79" s="17" t="inlineStr">
        <is>
          <t>DNC_132 1 DZ ÇUBUK ÇAY KAŞIK</t>
        </is>
      </c>
      <c r="G79" s="18" t="inlineStr">
        <is>
          <t>8683613550548</t>
        </is>
      </c>
      <c r="H79" s="17" t="inlineStr">
        <is>
          <t>DNC-132 koduna listede 2 farklı barkod verilmiş: 8683613550548, 8683613550593. Bu kodun doğru barkodu hangisi? Diğer barkod hangi ürüne aitse belirtin.</t>
        </is>
      </c>
      <c r="I79" s="19" t="n"/>
      <c r="J79" s="19" t="n"/>
      <c r="K79" s="19" t="n"/>
    </row>
    <row r="80">
      <c r="A80" s="15" t="n">
        <v>79</v>
      </c>
      <c r="B80" s="15" t="inlineStr"/>
      <c r="C80" s="20" t="inlineStr">
        <is>
          <t>KODA BİRDEN FAZLA BARKOD</t>
        </is>
      </c>
      <c r="D80" s="15" t="n">
        <v>188</v>
      </c>
      <c r="E80" s="17" t="inlineStr">
        <is>
          <t>DNC_132</t>
        </is>
      </c>
      <c r="F80" s="17" t="inlineStr">
        <is>
          <t>DNC_132 SİYAH TİTANİUM DONDURMA KAŞIK 6,LI</t>
        </is>
      </c>
      <c r="G80" s="18" t="inlineStr">
        <is>
          <t>8683613550593</t>
        </is>
      </c>
      <c r="H80" s="17" t="inlineStr">
        <is>
          <t>DNC-132 koduna listede 2 farklı barkod verilmiş: 8683613550548, 8683613550593. Bu kodun doğru barkodu hangisi? Diğer barkod hangi ürüne aitse belirtin.</t>
        </is>
      </c>
      <c r="I80" s="19" t="n"/>
      <c r="J80" s="19" t="n"/>
      <c r="K80" s="19" t="n"/>
    </row>
    <row r="81">
      <c r="A81" s="15" t="n">
        <v>80</v>
      </c>
      <c r="B81" s="15" t="inlineStr"/>
      <c r="C81" s="21" t="inlineStr">
        <is>
          <t>ÖNCEKİ LİSTEYLE ÇELİŞKİ</t>
        </is>
      </c>
      <c r="D81" s="15" t="n">
        <v>146</v>
      </c>
      <c r="E81" s="17" t="inlineStr">
        <is>
          <t>DNC_068</t>
        </is>
      </c>
      <c r="F81" s="17" t="inlineStr">
        <is>
          <t>DNC-068 1 DZ OKYANUS YEMEK KAŞIK</t>
        </is>
      </c>
      <c r="G81" s="18" t="inlineStr">
        <is>
          <t>8683581657294</t>
        </is>
      </c>
      <c r="H81" s="17" t="inlineStr">
        <is>
          <t>Önceki listenizde DNC-068 kodunun barkodu 8683581657324 idi, bu listede 8683581657294. Bu barkod önceki listede DNC-066 koduna aitti. Hangisi doğru?</t>
        </is>
      </c>
      <c r="I81" s="19" t="n"/>
      <c r="J81" s="19" t="n"/>
      <c r="K81" s="19" t="n"/>
    </row>
    <row r="82">
      <c r="A82" s="15" t="n">
        <v>81</v>
      </c>
      <c r="B82" s="15" t="inlineStr"/>
      <c r="C82" s="21" t="inlineStr">
        <is>
          <t>ÖNCEKİ LİSTEYLE ÇELİŞKİ</t>
        </is>
      </c>
      <c r="D82" s="15" t="n">
        <v>148</v>
      </c>
      <c r="E82" s="17" t="inlineStr">
        <is>
          <t>DNC_070</t>
        </is>
      </c>
      <c r="F82" s="17" t="inlineStr">
        <is>
          <t>DNC-070 1 DZ OKYANUS TATLI KAŞIK</t>
        </is>
      </c>
      <c r="G82" s="18" t="inlineStr">
        <is>
          <t>8683581657324</t>
        </is>
      </c>
      <c r="H82" s="17" t="inlineStr">
        <is>
          <t>Önceki listenizde DNC-070 kodunun barkodu 8683581657348 idi, bu listede 8683581657324. Bu barkod önceki listede DNC-068 koduna aitti. Hangisi doğru?</t>
        </is>
      </c>
      <c r="I82" s="19" t="n"/>
      <c r="J82" s="19" t="n"/>
      <c r="K82" s="19" t="n"/>
    </row>
    <row r="83">
      <c r="A83" s="15" t="n">
        <v>82</v>
      </c>
      <c r="B83" s="15" t="inlineStr"/>
      <c r="C83" s="22" t="inlineStr">
        <is>
          <t>ÜRÜN KODU YOK
FARKLI FİRMA ÖNEKİ</t>
        </is>
      </c>
      <c r="D83" s="15" t="n">
        <v>251</v>
      </c>
      <c r="E83" s="17" t="inlineStr">
        <is>
          <t>(boş)</t>
        </is>
      </c>
      <c r="F83" s="17" t="inlineStr">
        <is>
          <t>nusse çay kaşık</t>
        </is>
      </c>
      <c r="G83" s="18" t="inlineStr">
        <is>
          <t>8680793049732</t>
        </is>
      </c>
      <c r="H83" s="17" t="inlineStr">
        <is>
          <t>• Ürün kodu boş. Ürünün DNC kodunu yazın.
• Barkod Dincel'in barkod önekiyle (868361355… / 868358165…) başlamıyor; başka bir firmanın ürünü olabilir. Bu ürün listede kalmalı mı, belirtin.</t>
        </is>
      </c>
      <c r="I83" s="19" t="n"/>
      <c r="J83" s="19" t="n"/>
      <c r="K83" s="19" t="n"/>
    </row>
    <row r="84">
      <c r="A84" s="15" t="n">
        <v>83</v>
      </c>
      <c r="B84" s="15" t="inlineStr"/>
      <c r="C84" s="22" t="inlineStr">
        <is>
          <t>ÜRÜN KODU YOK</t>
        </is>
      </c>
      <c r="D84" s="15" t="n">
        <v>97</v>
      </c>
      <c r="E84" s="17" t="inlineStr">
        <is>
          <t>(boş)</t>
        </is>
      </c>
      <c r="F84" s="17" t="inlineStr">
        <is>
          <t>GÜMÜŞ 84 PRÇ ÇKB SET</t>
        </is>
      </c>
      <c r="G84" s="18" t="inlineStr">
        <is>
          <t>8683581657751</t>
        </is>
      </c>
      <c r="H84" s="17" t="inlineStr">
        <is>
          <t>Ürün kodu boş. Ürünün DNC kodunu yazın.</t>
        </is>
      </c>
      <c r="I84" s="19" t="n"/>
      <c r="J84" s="19" t="n"/>
      <c r="K84" s="19" t="n"/>
    </row>
    <row r="85">
      <c r="A85" s="15" t="n">
        <v>84</v>
      </c>
      <c r="B85" s="15" t="inlineStr"/>
      <c r="C85" s="22" t="inlineStr">
        <is>
          <t>ÜRÜN KODU YOK</t>
        </is>
      </c>
      <c r="D85" s="15" t="n">
        <v>98</v>
      </c>
      <c r="E85" s="17" t="inlineStr">
        <is>
          <t>(boş)</t>
        </is>
      </c>
      <c r="F85" s="17" t="inlineStr">
        <is>
          <t>GÜMÜŞ 89 PRÇ ÇKB SET</t>
        </is>
      </c>
      <c r="G85" s="18" t="inlineStr">
        <is>
          <t>8683581657768</t>
        </is>
      </c>
      <c r="H85" s="17" t="inlineStr">
        <is>
          <t>Ürün kodu boş. Ürünün DNC kodunu yazın.</t>
        </is>
      </c>
      <c r="I85" s="19" t="n"/>
      <c r="J85" s="19" t="n"/>
      <c r="K85" s="19" t="n"/>
    </row>
    <row r="86">
      <c r="A86" s="15" t="n">
        <v>85</v>
      </c>
      <c r="B86" s="15" t="inlineStr"/>
      <c r="C86" s="22" t="inlineStr">
        <is>
          <t>ÜRÜN KODU YOK
FARKLI FİRMA ÖNEKİ</t>
        </is>
      </c>
      <c r="D86" s="15" t="n">
        <v>103</v>
      </c>
      <c r="E86" s="17" t="inlineStr">
        <is>
          <t>(boş)</t>
        </is>
      </c>
      <c r="F86" s="17" t="inlineStr">
        <is>
          <t>SARAY SOS KEPÇE</t>
        </is>
      </c>
      <c r="G86" s="18" t="inlineStr">
        <is>
          <t>8699182306042</t>
        </is>
      </c>
      <c r="H86" s="17" t="inlineStr">
        <is>
          <t>• Ürün kodu boş. Ürünün DNC kodunu yazın.
• Barkod Dincel'in barkod önekiyle (868361355… / 868358165…) başlamıyor; başka bir firmanın ürünü olabilir. Bu ürün listede kalmalı mı, belirtin.</t>
        </is>
      </c>
      <c r="I86" s="19" t="n"/>
      <c r="J86" s="19" t="n"/>
      <c r="K86" s="19" t="n"/>
    </row>
    <row r="87">
      <c r="A87" s="15" t="n">
        <v>86</v>
      </c>
      <c r="B87" s="15" t="inlineStr"/>
      <c r="C87" s="22" t="inlineStr">
        <is>
          <t>KOD STANDART DIŞI
FARKLI FİRMA ÖNEKİ</t>
        </is>
      </c>
      <c r="D87" s="15" t="n">
        <v>102</v>
      </c>
      <c r="E87" s="17" t="inlineStr">
        <is>
          <t>419</t>
        </is>
      </c>
      <c r="F87" s="17" t="inlineStr">
        <is>
          <t>ÇUBUK ÇAY KAŞIK 6 AD KOD :419</t>
        </is>
      </c>
      <c r="G87" s="18" t="inlineStr">
        <is>
          <t>8681198062098</t>
        </is>
      </c>
      <c r="H87" s="17" t="inlineStr">
        <is>
          <t>• Kod '419' DNC formatında değil. Bu ürünün DNC kodu varsa yazın.
• Barkod Dincel'in barkod önekiyle (868361355… / 868358165…) başlamıyor; başka bir firmanın ürünü olabilir. Bu ürün listede kalmalı mı, belirtin.</t>
        </is>
      </c>
      <c r="I87" s="19" t="n"/>
      <c r="J87" s="19" t="n"/>
      <c r="K87" s="19" t="n"/>
    </row>
    <row r="88">
      <c r="A88" s="15" t="n">
        <v>87</v>
      </c>
      <c r="B88" s="15" t="inlineStr"/>
      <c r="C88" s="22" t="inlineStr">
        <is>
          <t>KOD STANDART DIŞI
FARKLI FİRMA ÖNEKİ</t>
        </is>
      </c>
      <c r="D88" s="15" t="n">
        <v>99</v>
      </c>
      <c r="E88" s="17" t="inlineStr">
        <is>
          <t>805</t>
        </is>
      </c>
      <c r="F88" s="17" t="inlineStr">
        <is>
          <t>LÜX MAKARNA MAŞASI KOD 805</t>
        </is>
      </c>
      <c r="G88" s="18" t="inlineStr">
        <is>
          <t>8681198062265</t>
        </is>
      </c>
      <c r="H88" s="17" t="inlineStr">
        <is>
          <t>• Kod '805' DNC formatında değil. Bu ürünün DNC kodu varsa yazın.
• Barkod Dincel'in barkod önekiyle (868361355… / 868358165…) başlamıyor; başka bir firmanın ürünü olabilir. Bu ürün listede kalmalı mı, belirtin.</t>
        </is>
      </c>
      <c r="I88" s="19" t="n"/>
      <c r="J88" s="19" t="n"/>
      <c r="K88" s="19" t="n"/>
    </row>
    <row r="89">
      <c r="A89" s="15" t="n">
        <v>88</v>
      </c>
      <c r="B89" s="15" t="inlineStr"/>
      <c r="C89" s="22" t="inlineStr">
        <is>
          <t>KOD STANDART DIŞI
FARKLI FİRMA ÖNEKİ</t>
        </is>
      </c>
      <c r="D89" s="15" t="n">
        <v>100</v>
      </c>
      <c r="E89" s="17" t="inlineStr">
        <is>
          <t>806</t>
        </is>
      </c>
      <c r="F89" s="17" t="inlineStr">
        <is>
          <t>LÜX PASTA MAŞASI KOD 806</t>
        </is>
      </c>
      <c r="G89" s="18" t="inlineStr">
        <is>
          <t>8681198062272</t>
        </is>
      </c>
      <c r="H89" s="17" t="inlineStr">
        <is>
          <t>• Kod '806' DNC formatında değil. Bu ürünün DNC kodu varsa yazın.
• Barkod Dincel'in barkod önekiyle (868361355… / 868358165…) başlamıyor; başka bir firmanın ürünü olabilir. Bu ürün listede kalmalı mı, belirtin.</t>
        </is>
      </c>
      <c r="I89" s="19" t="n"/>
      <c r="J89" s="19" t="n"/>
      <c r="K89" s="19" t="n"/>
    </row>
    <row r="90">
      <c r="A90" s="15" t="n">
        <v>89</v>
      </c>
      <c r="B90" s="15" t="inlineStr"/>
      <c r="C90" s="22" t="inlineStr">
        <is>
          <t>KOD STANDART DIŞI
FARKLI FİRMA ÖNEKİ</t>
        </is>
      </c>
      <c r="D90" s="15" t="n">
        <v>101</v>
      </c>
      <c r="E90" s="17" t="inlineStr">
        <is>
          <t>807</t>
        </is>
      </c>
      <c r="F90" s="17" t="inlineStr">
        <is>
          <t>LÜX SALATA MAŞASI KOD 807</t>
        </is>
      </c>
      <c r="G90" s="18" t="inlineStr">
        <is>
          <t>8681198062289</t>
        </is>
      </c>
      <c r="H90" s="17" t="inlineStr">
        <is>
          <t>• Kod '807' DNC formatında değil. Bu ürünün DNC kodu varsa yazın.
• Barkod Dincel'in barkod önekiyle (868361355… / 868358165…) başlamıyor; başka bir firmanın ürünü olabilir. Bu ürün listede kalmalı mı, belirtin.</t>
        </is>
      </c>
      <c r="I90" s="19" t="n"/>
      <c r="J90" s="19" t="n"/>
      <c r="K90" s="19" t="n"/>
    </row>
    <row r="91">
      <c r="A91" s="15" t="n">
        <v>90</v>
      </c>
      <c r="B91" s="15" t="inlineStr">
        <is>
          <t>B02</t>
        </is>
      </c>
      <c r="C91" s="23" t="inlineStr">
        <is>
          <t>AYNI ÜRÜN – FARKLI ÖNEK</t>
        </is>
      </c>
      <c r="D91" s="15" t="n">
        <v>39</v>
      </c>
      <c r="E91" s="17" t="inlineStr">
        <is>
          <t>COŞ_D120</t>
        </is>
      </c>
      <c r="F91" s="17" t="inlineStr">
        <is>
          <t>COŞ_D120 GOLD KELEBEK MAŞA SET</t>
        </is>
      </c>
      <c r="G91" s="18" t="inlineStr">
        <is>
          <t>8683581657690</t>
        </is>
      </c>
      <c r="H91" s="17" t="inlineStr">
        <is>
          <t>Bu barkod DNC_120 ile ortak. Kodlar aynı numarayı taşıyor; aynı ürünün farklı ön ekli kodu olduğunu düşünüyoruz. Doğruysa 'Üretici Açıklaması'na 'aynı ürün' yazın; farklı ürünlerse her birine ayrı barkod verin.</t>
        </is>
      </c>
      <c r="I91" s="19" t="n"/>
      <c r="J91" s="19" t="n"/>
      <c r="K91" s="19" t="n"/>
    </row>
    <row r="92">
      <c r="A92" s="15" t="n">
        <v>91</v>
      </c>
      <c r="B92" s="15" t="inlineStr">
        <is>
          <t>B02</t>
        </is>
      </c>
      <c r="C92" s="23" t="inlineStr">
        <is>
          <t>AYNI ÜRÜN – FARKLI ÖNEK</t>
        </is>
      </c>
      <c r="D92" s="15" t="n">
        <v>118</v>
      </c>
      <c r="E92" s="17" t="inlineStr">
        <is>
          <t>DNC_120</t>
        </is>
      </c>
      <c r="F92" s="17" t="inlineStr">
        <is>
          <t>DNC-120 GOLD KELEBEK MAŞA SET</t>
        </is>
      </c>
      <c r="G92" s="18" t="inlineStr">
        <is>
          <t>8683581657690</t>
        </is>
      </c>
      <c r="H92" s="17" t="inlineStr">
        <is>
          <t>Bu barkod COŞ_D120 ile ortak. Kodlar aynı numarayı taşıyor; aynı ürünün farklı ön ekli kodu olduğunu düşünüyoruz. Doğruysa 'Üretici Açıklaması'na 'aynı ürün' yazın; farklı ürünlerse her birine ayrı barkod verin.</t>
        </is>
      </c>
      <c r="I92" s="19" t="n"/>
      <c r="J92" s="19" t="n"/>
      <c r="K92" s="19" t="n"/>
    </row>
    <row r="93">
      <c r="A93" s="15" t="n">
        <v>92</v>
      </c>
      <c r="B93" s="15" t="inlineStr">
        <is>
          <t>B03</t>
        </is>
      </c>
      <c r="C93" s="23" t="inlineStr">
        <is>
          <t>AYNI ÜRÜN – FARKLI ÖNEK</t>
        </is>
      </c>
      <c r="D93" s="15" t="n">
        <v>38</v>
      </c>
      <c r="E93" s="17" t="inlineStr">
        <is>
          <t>COŞ_D023</t>
        </is>
      </c>
      <c r="F93" s="17" t="inlineStr">
        <is>
          <t>COŞ_D023 1 AD  İSTİRİDYE GOLD ŞEKER MAŞASI</t>
        </is>
      </c>
      <c r="G93" s="18" t="inlineStr">
        <is>
          <t>8683581657928</t>
        </is>
      </c>
      <c r="H93" s="17" t="inlineStr">
        <is>
          <t>Bu barkod DNC_023 ile ortak. Kodlar aynı numarayı taşıyor; aynı ürünün farklı ön ekli kodu olduğunu düşünüyoruz. Doğruysa 'Üretici Açıklaması'na 'aynı ürün' yazın; farklı ürünlerse her birine ayrı barkod verin.</t>
        </is>
      </c>
      <c r="I93" s="19" t="n"/>
      <c r="J93" s="19" t="n"/>
      <c r="K93" s="19" t="n"/>
    </row>
    <row r="94">
      <c r="A94" s="15" t="n">
        <v>93</v>
      </c>
      <c r="B94" s="15" t="inlineStr">
        <is>
          <t>B03</t>
        </is>
      </c>
      <c r="C94" s="23" t="inlineStr">
        <is>
          <t>AYNI ÜRÜN – FARKLI ÖNEK</t>
        </is>
      </c>
      <c r="D94" s="15" t="n">
        <v>105</v>
      </c>
      <c r="E94" s="17" t="inlineStr">
        <is>
          <t>DNC_023</t>
        </is>
      </c>
      <c r="F94" s="17" t="inlineStr">
        <is>
          <t>DNC-023 1 AD TİTANİUM İSTİRİDYE ŞEKER MAŞASI</t>
        </is>
      </c>
      <c r="G94" s="18" t="inlineStr">
        <is>
          <t>8683581657928</t>
        </is>
      </c>
      <c r="H94" s="17" t="inlineStr">
        <is>
          <t>Bu barkod COŞ_D023 ile ortak. Kodlar aynı numarayı taşıyor; aynı ürünün farklı ön ekli kodu olduğunu düşünüyoruz. Doğruysa 'Üretici Açıklaması'na 'aynı ürün' yazın; farklı ürünlerse her birine ayrı barkod verin.</t>
        </is>
      </c>
      <c r="I94" s="19" t="n"/>
      <c r="J94" s="19" t="n"/>
      <c r="K94" s="19" t="n"/>
    </row>
    <row r="95">
      <c r="A95" s="15" t="n">
        <v>94</v>
      </c>
      <c r="B95" s="15" t="inlineStr">
        <is>
          <t>B05</t>
        </is>
      </c>
      <c r="C95" s="23" t="inlineStr">
        <is>
          <t>AYNI ÜRÜN – FARKLI ÖNEK</t>
        </is>
      </c>
      <c r="D95" s="15" t="n">
        <v>30</v>
      </c>
      <c r="E95" s="17" t="inlineStr">
        <is>
          <t>COŞ_D048</t>
        </is>
      </c>
      <c r="F95" s="17" t="inlineStr">
        <is>
          <t>COŞ_D 048 6'LI İSTİRİDYE ÇAY  KAŞIK SADE</t>
        </is>
      </c>
      <c r="G95" s="18" t="inlineStr">
        <is>
          <t>8683581657973</t>
        </is>
      </c>
      <c r="H95" s="17" t="inlineStr">
        <is>
          <t>Bu barkod DNC_048 ile ortak. Kodlar aynı numarayı taşıyor; aynı ürünün farklı ön ekli kodu olduğunu düşünüyoruz. Doğruysa 'Üretici Açıklaması'na 'aynı ürün' yazın; farklı ürünlerse her birine ayrı barkod verin.</t>
        </is>
      </c>
      <c r="I95" s="19" t="n"/>
      <c r="J95" s="19" t="n"/>
      <c r="K95" s="19" t="n"/>
    </row>
    <row r="96">
      <c r="A96" s="15" t="n">
        <v>95</v>
      </c>
      <c r="B96" s="15" t="inlineStr">
        <is>
          <t>B05</t>
        </is>
      </c>
      <c r="C96" s="23" t="inlineStr">
        <is>
          <t>AYNI ÜRÜN – FARKLI ÖNEK</t>
        </is>
      </c>
      <c r="D96" s="15" t="n">
        <v>117</v>
      </c>
      <c r="E96" s="17" t="inlineStr">
        <is>
          <t>DNC_048</t>
        </is>
      </c>
      <c r="F96" s="17" t="inlineStr">
        <is>
          <t>DNC-048 6'LI İSTİRİDYE ÇAY  KAŞIK SADE</t>
        </is>
      </c>
      <c r="G96" s="18" t="inlineStr">
        <is>
          <t>8683581657973</t>
        </is>
      </c>
      <c r="H96" s="17" t="inlineStr">
        <is>
          <t>Bu barkod COŞ_D048 ile ortak. Kodlar aynı numarayı taşıyor; aynı ürünün farklı ön ekli kodu olduğunu düşünüyoruz. Doğruysa 'Üretici Açıklaması'na 'aynı ürün' yazın; farklı ürünlerse her birine ayrı barkod verin.</t>
        </is>
      </c>
      <c r="I96" s="19" t="n"/>
      <c r="J96" s="19" t="n"/>
      <c r="K96" s="19" t="n"/>
    </row>
    <row r="97">
      <c r="A97" s="15" t="n">
        <v>96</v>
      </c>
      <c r="B97" s="15" t="inlineStr">
        <is>
          <t>B11</t>
        </is>
      </c>
      <c r="C97" s="23" t="inlineStr">
        <is>
          <t>AYNI ÜRÜN – FARKLI ÖNEK</t>
        </is>
      </c>
      <c r="D97" s="15" t="n">
        <v>47</v>
      </c>
      <c r="E97" s="17" t="inlineStr">
        <is>
          <t>COŞ_D193</t>
        </is>
      </c>
      <c r="F97" s="17" t="inlineStr">
        <is>
          <t>COŞ_D193 SALATA MAŞASI TİTANİUM</t>
        </is>
      </c>
      <c r="G97" s="18" t="inlineStr">
        <is>
          <t>8683613550289</t>
        </is>
      </c>
      <c r="H97" s="17" t="inlineStr">
        <is>
          <t>Bu barkod DNC_193 ile ortak. Kodlar aynı numarayı taşıyor; aynı ürünün farklı ön ekli kodu olduğunu düşünüyoruz. Doğruysa 'Üretici Açıklaması'na 'aynı ürün' yazın; farklı ürünlerse her birine ayrı barkod verin.</t>
        </is>
      </c>
      <c r="I97" s="19" t="n"/>
      <c r="J97" s="19" t="n"/>
      <c r="K97" s="19" t="n"/>
    </row>
    <row r="98">
      <c r="A98" s="15" t="n">
        <v>97</v>
      </c>
      <c r="B98" s="15" t="inlineStr">
        <is>
          <t>B11</t>
        </is>
      </c>
      <c r="C98" s="23" t="inlineStr">
        <is>
          <t>AYNI ÜRÜN – FARKLI ÖNEK</t>
        </is>
      </c>
      <c r="D98" s="15" t="n">
        <v>138</v>
      </c>
      <c r="E98" s="17" t="inlineStr">
        <is>
          <t>DNC_193</t>
        </is>
      </c>
      <c r="F98" s="17" t="inlineStr">
        <is>
          <t>DNC_193 SALATA MAŞASI TİTANİUM</t>
        </is>
      </c>
      <c r="G98" s="18" t="inlineStr">
        <is>
          <t>8683613550289</t>
        </is>
      </c>
      <c r="H98" s="17" t="inlineStr">
        <is>
          <t>Bu barkod COŞ_D193 ile ortak. Kodlar aynı numarayı taşıyor; aynı ürünün farklı ön ekli kodu olduğunu düşünüyoruz. Doğruysa 'Üretici Açıklaması'na 'aynı ürün' yazın; farklı ürünlerse her birine ayrı barkod verin.</t>
        </is>
      </c>
      <c r="I98" s="19" t="n"/>
      <c r="J98" s="19" t="n"/>
      <c r="K98" s="19" t="n"/>
    </row>
    <row r="99">
      <c r="A99" s="15" t="n">
        <v>98</v>
      </c>
      <c r="B99" s="15" t="inlineStr">
        <is>
          <t>B14</t>
        </is>
      </c>
      <c r="C99" s="23" t="inlineStr">
        <is>
          <t>AYNI ÜRÜN – FARKLI ÖNEK</t>
        </is>
      </c>
      <c r="D99" s="15" t="n">
        <v>2</v>
      </c>
      <c r="E99" s="17" t="inlineStr">
        <is>
          <t>DNC_129</t>
        </is>
      </c>
      <c r="F99" s="17" t="inlineStr">
        <is>
          <t>DNC-129  2,Lİ PASTA SET GOLD TÜY</t>
        </is>
      </c>
      <c r="G99" s="18" t="inlineStr">
        <is>
          <t>8683613550395</t>
        </is>
      </c>
      <c r="H99" s="17" t="inlineStr">
        <is>
          <t>Bu barkod EFG_129 ile ortak. Kodlar aynı numarayı taşıyor; aynı ürünün farklı ön ekli kodu olduğunu düşünüyoruz. Doğruysa 'Üretici Açıklaması'na 'aynı ürün' yazın; farklı ürünlerse her birine ayrı barkod verin.</t>
        </is>
      </c>
      <c r="I99" s="19" t="n"/>
      <c r="J99" s="19" t="n"/>
      <c r="K99" s="19" t="n"/>
    </row>
    <row r="100">
      <c r="A100" s="15" t="n">
        <v>99</v>
      </c>
      <c r="B100" s="15" t="inlineStr">
        <is>
          <t>B14</t>
        </is>
      </c>
      <c r="C100" s="23" t="inlineStr">
        <is>
          <t>AYNI ÜRÜN – FARKLI ÖNEK</t>
        </is>
      </c>
      <c r="D100" s="15" t="n">
        <v>50</v>
      </c>
      <c r="E100" s="17" t="inlineStr">
        <is>
          <t>EFG_129</t>
        </is>
      </c>
      <c r="F100" s="17" t="inlineStr">
        <is>
          <t>EFG-129  2,Lİ PASTA SET GOLD TÜY</t>
        </is>
      </c>
      <c r="G100" s="18" t="inlineStr">
        <is>
          <t>8683613550395</t>
        </is>
      </c>
      <c r="H100" s="17" t="inlineStr">
        <is>
          <t>Bu barkod DNC_129 ile ortak. Kodlar aynı numarayı taşıyor; aynı ürünün farklı ön ekli kodu olduğunu düşünüyoruz. Doğruysa 'Üretici Açıklaması'na 'aynı ürün' yazın; farklı ürünlerse her birine ayrı barkod verin.</t>
        </is>
      </c>
      <c r="I100" s="19" t="n"/>
      <c r="J100" s="19" t="n"/>
      <c r="K100" s="19" t="n"/>
    </row>
    <row r="101">
      <c r="A101" s="15" t="n">
        <v>100</v>
      </c>
      <c r="B101" s="15" t="inlineStr">
        <is>
          <t>B15</t>
        </is>
      </c>
      <c r="C101" s="23" t="inlineStr">
        <is>
          <t>AYNI ÜRÜN – FARKLI ÖNEK</t>
        </is>
      </c>
      <c r="D101" s="15" t="n">
        <v>3</v>
      </c>
      <c r="E101" s="17" t="inlineStr">
        <is>
          <t>DNC_130</t>
        </is>
      </c>
      <c r="F101" s="17" t="inlineStr">
        <is>
          <t>DNC-130  2,Lİ PASTA SET GÜMÜŞ TÜY</t>
        </is>
      </c>
      <c r="G101" s="18" t="inlineStr">
        <is>
          <t>8683613550401</t>
        </is>
      </c>
      <c r="H101" s="17" t="inlineStr">
        <is>
          <t>Bu barkod EFG_130 ile ortak. Kodlar aynı numarayı taşıyor; aynı ürünün farklı ön ekli kodu olduğunu düşünüyoruz. Doğruysa 'Üretici Açıklaması'na 'aynı ürün' yazın; farklı ürünlerse her birine ayrı barkod verin.</t>
        </is>
      </c>
      <c r="I101" s="19" t="n"/>
      <c r="J101" s="19" t="n"/>
      <c r="K101" s="19" t="n"/>
    </row>
    <row r="102">
      <c r="A102" s="15" t="n">
        <v>101</v>
      </c>
      <c r="B102" s="15" t="inlineStr">
        <is>
          <t>B15</t>
        </is>
      </c>
      <c r="C102" s="23" t="inlineStr">
        <is>
          <t>AYNI ÜRÜN – FARKLI ÖNEK</t>
        </is>
      </c>
      <c r="D102" s="15" t="n">
        <v>51</v>
      </c>
      <c r="E102" s="17" t="inlineStr">
        <is>
          <t>EFG_130</t>
        </is>
      </c>
      <c r="F102" s="17" t="inlineStr">
        <is>
          <t>EFG-130  2,Lİ GÜMÜŞ TÜY PASTA SET</t>
        </is>
      </c>
      <c r="G102" s="18" t="inlineStr">
        <is>
          <t>8683613550401</t>
        </is>
      </c>
      <c r="H102" s="17" t="inlineStr">
        <is>
          <t>Bu barkod DNC_130 ile ortak. Kodlar aynı numarayı taşıyor; aynı ürünün farklı ön ekli kodu olduğunu düşünüyoruz. Doğruysa 'Üretici Açıklaması'na 'aynı ürün' yazın; farklı ürünlerse her birine ayrı barkod verin.</t>
        </is>
      </c>
      <c r="I102" s="19" t="n"/>
      <c r="J102" s="19" t="n"/>
      <c r="K102" s="19" t="n"/>
    </row>
    <row r="103">
      <c r="A103" s="15" t="n">
        <v>102</v>
      </c>
      <c r="B103" s="15" t="inlineStr">
        <is>
          <t>B16</t>
        </is>
      </c>
      <c r="C103" s="23" t="inlineStr">
        <is>
          <t>AYNI ÜRÜN – FARKLI ÖNEK</t>
        </is>
      </c>
      <c r="D103" s="15" t="n">
        <v>49</v>
      </c>
      <c r="E103" s="17" t="inlineStr">
        <is>
          <t>COŞ_D195</t>
        </is>
      </c>
      <c r="F103" s="17" t="inlineStr">
        <is>
          <t>COŞ_D195 MAKARNA MAŞASI TİTANİUM</t>
        </is>
      </c>
      <c r="G103" s="18" t="inlineStr">
        <is>
          <t>8683613550425</t>
        </is>
      </c>
      <c r="H103" s="17" t="inlineStr">
        <is>
          <t>Bu barkod DNC_195 ile ortak. Kodlar aynı numarayı taşıyor; aynı ürünün farklı ön ekli kodu olduğunu düşünüyoruz. Doğruysa 'Üretici Açıklaması'na 'aynı ürün' yazın; farklı ürünlerse her birine ayrı barkod verin.</t>
        </is>
      </c>
      <c r="I103" s="19" t="n"/>
      <c r="J103" s="19" t="n"/>
      <c r="K103" s="19" t="n"/>
    </row>
    <row r="104">
      <c r="A104" s="15" t="n">
        <v>103</v>
      </c>
      <c r="B104" s="15" t="inlineStr">
        <is>
          <t>B16</t>
        </is>
      </c>
      <c r="C104" s="23" t="inlineStr">
        <is>
          <t>AYNI ÜRÜN – FARKLI ÖNEK</t>
        </is>
      </c>
      <c r="D104" s="15" t="n">
        <v>140</v>
      </c>
      <c r="E104" s="17" t="inlineStr">
        <is>
          <t>DNC_195</t>
        </is>
      </c>
      <c r="F104" s="17" t="inlineStr">
        <is>
          <t>DNC_195 MAKARNA MAŞASI TİTANİUM</t>
        </is>
      </c>
      <c r="G104" s="18" t="inlineStr">
        <is>
          <t>8683613550425</t>
        </is>
      </c>
      <c r="H104" s="17" t="inlineStr">
        <is>
          <t>Bu barkod COŞ_D195 ile ortak. Kodlar aynı numarayı taşıyor; aynı ürünün farklı ön ekli kodu olduğunu düşünüyoruz. Doğruysa 'Üretici Açıklaması'na 'aynı ürün' yazın; farklı ürünlerse her birine ayrı barkod verin.</t>
        </is>
      </c>
      <c r="I104" s="19" t="n"/>
      <c r="J104" s="19" t="n"/>
      <c r="K104" s="19" t="n"/>
    </row>
    <row r="105">
      <c r="A105" s="15" t="n">
        <v>104</v>
      </c>
      <c r="B105" s="15" t="inlineStr">
        <is>
          <t>B17</t>
        </is>
      </c>
      <c r="C105" s="23" t="inlineStr">
        <is>
          <t>AYNI ÜRÜN – FARKLI ÖNEK</t>
        </is>
      </c>
      <c r="D105" s="15" t="n">
        <v>41</v>
      </c>
      <c r="E105" s="17" t="inlineStr">
        <is>
          <t>COŞ_D133</t>
        </is>
      </c>
      <c r="F105" s="17" t="inlineStr">
        <is>
          <t>COŞ_D133  GÜMÜŞ  BEYAZ KELEBEK MAŞA SET</t>
        </is>
      </c>
      <c r="G105" s="18" t="inlineStr">
        <is>
          <t>8683613550432</t>
        </is>
      </c>
      <c r="H105" s="17" t="inlineStr">
        <is>
          <t>Bu barkod DNC_133 ile ortak. Kodlar aynı numarayı taşıyor; aynı ürünün farklı ön ekli kodu olduğunu düşünüyoruz. Doğruysa 'Üretici Açıklaması'na 'aynı ürün' yazın; farklı ürünlerse her birine ayrı barkod verin.</t>
        </is>
      </c>
      <c r="I105" s="19" t="n"/>
      <c r="J105" s="19" t="n"/>
      <c r="K105" s="19" t="n"/>
    </row>
    <row r="106">
      <c r="A106" s="15" t="n">
        <v>105</v>
      </c>
      <c r="B106" s="15" t="inlineStr">
        <is>
          <t>B17</t>
        </is>
      </c>
      <c r="C106" s="23" t="inlineStr">
        <is>
          <t>AYNI ÜRÜN – FARKLI ÖNEK</t>
        </is>
      </c>
      <c r="D106" s="15" t="n">
        <v>123</v>
      </c>
      <c r="E106" s="17" t="inlineStr">
        <is>
          <t>DNC_133</t>
        </is>
      </c>
      <c r="F106" s="17" t="inlineStr">
        <is>
          <t>DNC-133 3'LÜ  GÜMÜŞ MAŞA BEYAZ  KELEBEK DEKORLU</t>
        </is>
      </c>
      <c r="G106" s="18" t="inlineStr">
        <is>
          <t>8683613550432</t>
        </is>
      </c>
      <c r="H106" s="17" t="inlineStr">
        <is>
          <t>Bu barkod COŞ_D133 ile ortak. Kodlar aynı numarayı taşıyor; aynı ürünün farklı ön ekli kodu olduğunu düşünüyoruz. Doğruysa 'Üretici Açıklaması'na 'aynı ürün' yazın; farklı ürünlerse her birine ayrı barkod verin.</t>
        </is>
      </c>
      <c r="I106" s="19" t="n"/>
      <c r="J106" s="19" t="n"/>
      <c r="K106" s="19" t="n"/>
    </row>
    <row r="107">
      <c r="A107" s="15" t="n">
        <v>106</v>
      </c>
      <c r="B107" s="15" t="inlineStr">
        <is>
          <t>B19</t>
        </is>
      </c>
      <c r="C107" s="23" t="inlineStr">
        <is>
          <t>AYNI ÜRÜN – FARKLI ÖNEK</t>
        </is>
      </c>
      <c r="D107" s="15" t="n">
        <v>42</v>
      </c>
      <c r="E107" s="17" t="inlineStr">
        <is>
          <t>COŞ_D165</t>
        </is>
      </c>
      <c r="F107" s="17" t="inlineStr">
        <is>
          <t>COŞ_D165 5,Lİ SOS SERVİS TK SADE</t>
        </is>
      </c>
      <c r="G107" s="18" t="inlineStr">
        <is>
          <t>8683613550616</t>
        </is>
      </c>
      <c r="H107" s="17" t="inlineStr">
        <is>
          <t>Bu barkod DNC_165 ile ortak. Kodlar aynı numarayı taşıyor; aynı ürünün farklı ön ekli kodu olduğunu düşünüyoruz. Doğruysa 'Üretici Açıklaması'na 'aynı ürün' yazın; farklı ürünlerse her birine ayrı barkod verin.</t>
        </is>
      </c>
      <c r="I107" s="19" t="n"/>
      <c r="J107" s="19" t="n"/>
      <c r="K107" s="19" t="n"/>
    </row>
    <row r="108">
      <c r="A108" s="15" t="n">
        <v>107</v>
      </c>
      <c r="B108" s="15" t="inlineStr">
        <is>
          <t>B19</t>
        </is>
      </c>
      <c r="C108" s="23" t="inlineStr">
        <is>
          <t>AYNI ÜRÜN – FARKLI ÖNEK</t>
        </is>
      </c>
      <c r="D108" s="15" t="n">
        <v>173</v>
      </c>
      <c r="E108" s="17" t="inlineStr">
        <is>
          <t>DNC_165</t>
        </is>
      </c>
      <c r="F108" s="17" t="inlineStr">
        <is>
          <t>DNC_165 OKYANUS SOS SERVİS TK SADE</t>
        </is>
      </c>
      <c r="G108" s="18" t="inlineStr">
        <is>
          <t>8683613550616</t>
        </is>
      </c>
      <c r="H108" s="17" t="inlineStr">
        <is>
          <t>Bu barkod COŞ_D165 ile ortak. Kodlar aynı numarayı taşıyor; aynı ürünün farklı ön ekli kodu olduğunu düşünüyoruz. Doğruysa 'Üretici Açıklaması'na 'aynı ürün' yazın; farklı ürünlerse her birine ayrı barkod verin.</t>
        </is>
      </c>
      <c r="I108" s="19" t="n"/>
      <c r="J108" s="19" t="n"/>
      <c r="K108" s="19" t="n"/>
    </row>
    <row r="109">
      <c r="A109" s="15" t="n">
        <v>108</v>
      </c>
      <c r="B109" s="15" t="inlineStr">
        <is>
          <t>B20</t>
        </is>
      </c>
      <c r="C109" s="23" t="inlineStr">
        <is>
          <t>AYNI ÜRÜN – FARKLI ÖNEK</t>
        </is>
      </c>
      <c r="D109" s="15" t="n">
        <v>40</v>
      </c>
      <c r="E109" s="17" t="inlineStr">
        <is>
          <t>COŞ_D123</t>
        </is>
      </c>
      <c r="F109" s="17" t="inlineStr">
        <is>
          <t>COŞ_D123 GÜMÜŞ KELEBEK MAŞA SET</t>
        </is>
      </c>
      <c r="G109" s="18" t="inlineStr">
        <is>
          <t>8683613550623</t>
        </is>
      </c>
      <c r="H109" s="17" t="inlineStr">
        <is>
          <t>Bu barkod DNC_123 ile ortak. Kodlar aynı numarayı taşıyor; aynı ürünün farklı ön ekli kodu olduğunu düşünüyoruz. Doğruysa 'Üretici Açıklaması'na 'aynı ürün' yazın; farklı ürünlerse her birine ayrı barkod verin.</t>
        </is>
      </c>
      <c r="I109" s="19" t="n"/>
      <c r="J109" s="19" t="n"/>
      <c r="K109" s="19" t="n"/>
    </row>
    <row r="110">
      <c r="A110" s="15" t="n">
        <v>109</v>
      </c>
      <c r="B110" s="15" t="inlineStr">
        <is>
          <t>B21</t>
        </is>
      </c>
      <c r="C110" s="23" t="inlineStr">
        <is>
          <t>AYNI ÜRÜN – FARKLI ÖNEK</t>
        </is>
      </c>
      <c r="D110" s="15" t="n">
        <v>48</v>
      </c>
      <c r="E110" s="17" t="inlineStr">
        <is>
          <t>COŞ_D194</t>
        </is>
      </c>
      <c r="F110" s="17" t="inlineStr">
        <is>
          <t>COŞ_D194 PASTA MAŞASI TİTANİUM</t>
        </is>
      </c>
      <c r="G110" s="18" t="inlineStr">
        <is>
          <t>8683613550654</t>
        </is>
      </c>
      <c r="H110" s="17" t="inlineStr">
        <is>
          <t>Bu barkod DNC_194 ile ortak. Kodlar aynı numarayı taşıyor; aynı ürünün farklı ön ekli kodu olduğunu düşünüyoruz. Doğruysa 'Üretici Açıklaması'na 'aynı ürün' yazın; farklı ürünlerse her birine ayrı barkod verin.</t>
        </is>
      </c>
      <c r="I110" s="19" t="n"/>
      <c r="J110" s="19" t="n"/>
      <c r="K110" s="19" t="n"/>
    </row>
    <row r="111">
      <c r="A111" s="15" t="n">
        <v>110</v>
      </c>
      <c r="B111" s="15" t="inlineStr">
        <is>
          <t>B21</t>
        </is>
      </c>
      <c r="C111" s="23" t="inlineStr">
        <is>
          <t>AYNI ÜRÜN – FARKLI ÖNEK</t>
        </is>
      </c>
      <c r="D111" s="15" t="n">
        <v>139</v>
      </c>
      <c r="E111" s="17" t="inlineStr">
        <is>
          <t>DNC_194</t>
        </is>
      </c>
      <c r="F111" s="17" t="inlineStr">
        <is>
          <t>DNC_194 PASTA MAŞASI TİTANİUM</t>
        </is>
      </c>
      <c r="G111" s="18" t="inlineStr">
        <is>
          <t>8683613550654</t>
        </is>
      </c>
      <c r="H111" s="17" t="inlineStr">
        <is>
          <t>Bu barkod COŞ_D194 ile ortak. Kodlar aynı numarayı taşıyor; aynı ürünün farklı ön ekli kodu olduğunu düşünüyoruz. Doğruysa 'Üretici Açıklaması'na 'aynı ürün' yazın; farklı ürünlerse her birine ayrı barkod verin.</t>
        </is>
      </c>
      <c r="I111" s="19" t="n"/>
      <c r="J111" s="19" t="n"/>
      <c r="K111" s="19" t="n"/>
    </row>
    <row r="112">
      <c r="A112" s="15" t="n">
        <v>111</v>
      </c>
      <c r="B112" s="15" t="inlineStr">
        <is>
          <t>B35</t>
        </is>
      </c>
      <c r="C112" s="23" t="inlineStr">
        <is>
          <t>AYNI ÜRÜN – FARKLI ÖNEK</t>
        </is>
      </c>
      <c r="D112" s="15" t="n">
        <v>14</v>
      </c>
      <c r="E112" s="17" t="inlineStr">
        <is>
          <t>DNC_197</t>
        </is>
      </c>
      <c r="F112" s="17" t="inlineStr">
        <is>
          <t>DNC_197 5,Lİ GÜMÜŞ TÜY SOS SERVİS SET</t>
        </is>
      </c>
      <c r="G112" s="18" t="inlineStr">
        <is>
          <t>8683613550906</t>
        </is>
      </c>
      <c r="H112" s="17" t="inlineStr">
        <is>
          <t>Bu barkod EFG_197 ile ortak. Kodlar aynı numarayı taşıyor; aynı ürünün farklı ön ekli kodu olduğunu düşünüyoruz. Doğruysa 'Üretici Açıklaması'na 'aynı ürün' yazın; farklı ürünlerse her birine ayrı barkod verin.</t>
        </is>
      </c>
      <c r="I112" s="19" t="n"/>
      <c r="J112" s="19" t="n"/>
      <c r="K112" s="19" t="n"/>
    </row>
    <row r="113">
      <c r="A113" s="15" t="n">
        <v>112</v>
      </c>
      <c r="B113" s="15" t="inlineStr">
        <is>
          <t>B35</t>
        </is>
      </c>
      <c r="C113" s="23" t="inlineStr">
        <is>
          <t>AYNI ÜRÜN – FARKLI ÖNEK</t>
        </is>
      </c>
      <c r="D113" s="15" t="n">
        <v>52</v>
      </c>
      <c r="E113" s="17" t="inlineStr">
        <is>
          <t>EFG_197</t>
        </is>
      </c>
      <c r="F113" s="17" t="inlineStr">
        <is>
          <t>EFG_197 5,Lİ GÜMÜŞ TÜY SOS SERVİS SET</t>
        </is>
      </c>
      <c r="G113" s="18" t="inlineStr">
        <is>
          <t>8683613550906</t>
        </is>
      </c>
      <c r="H113" s="17" t="inlineStr">
        <is>
          <t>Bu barkod DNC_197 ile ortak. Kodlar aynı numarayı taşıyor; aynı ürünün farklı ön ekli kodu olduğunu düşünüyoruz. Doğruysa 'Üretici Açıklaması'na 'aynı ürün' yazın; farklı ürünlerse her birine ayrı barkod verin.</t>
        </is>
      </c>
      <c r="I113" s="19" t="n"/>
      <c r="J113" s="19" t="n"/>
      <c r="K113" s="19" t="n"/>
    </row>
    <row r="114">
      <c r="A114" s="15" t="n">
        <v>113</v>
      </c>
      <c r="B114" s="15" t="inlineStr">
        <is>
          <t>B36</t>
        </is>
      </c>
      <c r="C114" s="23" t="inlineStr">
        <is>
          <t>AYNI ÜRÜN – FARKLI ÖNEK</t>
        </is>
      </c>
      <c r="D114" s="15" t="n">
        <v>16</v>
      </c>
      <c r="E114" s="17" t="inlineStr">
        <is>
          <t>DNC_199</t>
        </is>
      </c>
      <c r="F114" s="17" t="inlineStr">
        <is>
          <t>DNC_199 5,Lİ GOLD TÜY SOS SERVİS SET</t>
        </is>
      </c>
      <c r="G114" s="18" t="inlineStr">
        <is>
          <t>8683613550920</t>
        </is>
      </c>
      <c r="H114" s="17" t="inlineStr">
        <is>
          <t>Bu barkod EFG_199 ile ortak. Kodlar aynı numarayı taşıyor; aynı ürünün farklı ön ekli kodu olduğunu düşünüyoruz. Doğruysa 'Üretici Açıklaması'na 'aynı ürün' yazın; farklı ürünlerse her birine ayrı barkod verin.</t>
        </is>
      </c>
      <c r="I114" s="19" t="n"/>
      <c r="J114" s="19" t="n"/>
      <c r="K114" s="19" t="n"/>
    </row>
    <row r="115">
      <c r="A115" s="15" t="n">
        <v>114</v>
      </c>
      <c r="B115" s="15" t="inlineStr">
        <is>
          <t>B36</t>
        </is>
      </c>
      <c r="C115" s="23" t="inlineStr">
        <is>
          <t>AYNI ÜRÜN – FARKLI ÖNEK</t>
        </is>
      </c>
      <c r="D115" s="15" t="n">
        <v>53</v>
      </c>
      <c r="E115" s="17" t="inlineStr">
        <is>
          <t>EFG_199</t>
        </is>
      </c>
      <c r="F115" s="17" t="inlineStr">
        <is>
          <t>EFG_199 5,Lİ GOLD TÜY SOS SERVİS SET</t>
        </is>
      </c>
      <c r="G115" s="18" t="inlineStr">
        <is>
          <t>8683613550920</t>
        </is>
      </c>
      <c r="H115" s="17" t="inlineStr">
        <is>
          <t>Bu barkod DNC_199 ile ortak. Kodlar aynı numarayı taşıyor; aynı ürünün farklı ön ekli kodu olduğunu düşünüyoruz. Doğruysa 'Üretici Açıklaması'na 'aynı ürün' yazın; farklı ürünlerse her birine ayrı barkod verin.</t>
        </is>
      </c>
      <c r="I115" s="19" t="n"/>
      <c r="J115" s="19" t="n"/>
      <c r="K115" s="19" t="n"/>
    </row>
    <row r="116">
      <c r="A116" s="15" t="n">
        <v>115</v>
      </c>
      <c r="B116" s="15" t="inlineStr">
        <is>
          <t>B37</t>
        </is>
      </c>
      <c r="C116" s="23" t="inlineStr">
        <is>
          <t>AYNI ÜRÜN – FARKLI ÖNEK</t>
        </is>
      </c>
      <c r="D116" s="15" t="n">
        <v>22</v>
      </c>
      <c r="E116" s="17" t="inlineStr">
        <is>
          <t>DNC_205</t>
        </is>
      </c>
      <c r="F116" s="17" t="inlineStr">
        <is>
          <t>DNC_205  5,Lİ ZERAFET GÜMÜŞ SERVİS SET</t>
        </is>
      </c>
      <c r="G116" s="18" t="inlineStr">
        <is>
          <t>8683613550982</t>
        </is>
      </c>
      <c r="H116" s="17" t="inlineStr">
        <is>
          <t>Bu barkod EFG_205 ile ortak. Kodlar aynı numarayı taşıyor; aynı ürünün farklı ön ekli kodu olduğunu düşünüyoruz. Doğruysa 'Üretici Açıklaması'na 'aynı ürün' yazın; farklı ürünlerse her birine ayrı barkod verin.</t>
        </is>
      </c>
      <c r="I116" s="19" t="n"/>
      <c r="J116" s="19" t="n"/>
      <c r="K116" s="19" t="n"/>
    </row>
    <row r="117">
      <c r="A117" s="15" t="n">
        <v>116</v>
      </c>
      <c r="B117" s="15" t="inlineStr">
        <is>
          <t>B37</t>
        </is>
      </c>
      <c r="C117" s="23" t="inlineStr">
        <is>
          <t>AYNI ÜRÜN – FARKLI ÖNEK</t>
        </is>
      </c>
      <c r="D117" s="15" t="n">
        <v>54</v>
      </c>
      <c r="E117" s="17" t="inlineStr">
        <is>
          <t>EFG_205</t>
        </is>
      </c>
      <c r="F117" s="17" t="inlineStr">
        <is>
          <t>EFG_205  ZERAFET 5,Lİ GÜMÜŞ SUNUM SERVİS SET</t>
        </is>
      </c>
      <c r="G117" s="18" t="inlineStr">
        <is>
          <t>8683613550982</t>
        </is>
      </c>
      <c r="H117" s="17" t="inlineStr">
        <is>
          <t>Bu barkod DNC_205 ile ortak. Kodlar aynı numarayı taşıyor; aynı ürünün farklı ön ekli kodu olduğunu düşünüyoruz. Doğruysa 'Üretici Açıklaması'na 'aynı ürün' yazın; farklı ürünlerse her birine ayrı barkod verin.</t>
        </is>
      </c>
      <c r="I117" s="19" t="n"/>
      <c r="J117" s="19" t="n"/>
      <c r="K117" s="19" t="n"/>
    </row>
    <row r="118">
      <c r="A118" s="15" t="n">
        <v>117</v>
      </c>
      <c r="B118" s="15" t="inlineStr">
        <is>
          <t>B38</t>
        </is>
      </c>
      <c r="C118" s="23" t="inlineStr">
        <is>
          <t>AYNI ÜRÜN – FARKLI ÖNEK</t>
        </is>
      </c>
      <c r="D118" s="15" t="n">
        <v>23</v>
      </c>
      <c r="E118" s="17" t="inlineStr">
        <is>
          <t>DNC_206</t>
        </is>
      </c>
      <c r="F118" s="17" t="inlineStr">
        <is>
          <t>DNC_206 ZERAFET 5,Lİ GOLD SERVİS SET</t>
        </is>
      </c>
      <c r="G118" s="18" t="inlineStr">
        <is>
          <t>8683613550999</t>
        </is>
      </c>
      <c r="H118" s="17" t="inlineStr">
        <is>
          <t>Bu barkod EFG_206 ile ortak. Kodlar aynı numarayı taşıyor; aynı ürünün farklı ön ekli kodu olduğunu düşünüyoruz. Doğruysa 'Üretici Açıklaması'na 'aynı ürün' yazın; farklı ürünlerse her birine ayrı barkod verin.</t>
        </is>
      </c>
      <c r="I118" s="19" t="n"/>
      <c r="J118" s="19" t="n"/>
      <c r="K118" s="19" t="n"/>
    </row>
    <row r="119">
      <c r="A119" s="15" t="n">
        <v>118</v>
      </c>
      <c r="B119" s="15" t="inlineStr">
        <is>
          <t>B38</t>
        </is>
      </c>
      <c r="C119" s="23" t="inlineStr">
        <is>
          <t>AYNI ÜRÜN – FARKLI ÖNEK</t>
        </is>
      </c>
      <c r="D119" s="15" t="n">
        <v>55</v>
      </c>
      <c r="E119" s="17" t="inlineStr">
        <is>
          <t>EFG_206</t>
        </is>
      </c>
      <c r="F119" s="17" t="inlineStr">
        <is>
          <t>EFG_206  ZERAFET 5,Lİ GOLD SUNUM SERVİS SET</t>
        </is>
      </c>
      <c r="G119" s="18" t="inlineStr">
        <is>
          <t>8683613550999</t>
        </is>
      </c>
      <c r="H119" s="17" t="inlineStr">
        <is>
          <t>Bu barkod DNC_206 ile ortak. Kodlar aynı numarayı taşıyor; aynı ürünün farklı ön ekli kodu olduğunu düşünüyoruz. Doğruysa 'Üretici Açıklaması'na 'aynı ürün' yazın; farklı ürünlerse her birine ayrı barkod verin.</t>
        </is>
      </c>
      <c r="I119" s="19" t="n"/>
      <c r="J119" s="19" t="n"/>
      <c r="K119" s="19" t="n"/>
    </row>
  </sheetData>
  <autoFilter ref="A1:K119"/>
  <dataValidations count="1">
    <dataValidation sqref="I2:I119" showDropDown="0" showInputMessage="0" showErrorMessage="1" allowBlank="1" errorTitle="Barkod 13 hane olmalı" error="EAN-13 barkod 13 rakamdan oluşur." type="textLength" operator="equal">
      <formula1>13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</cols>
  <sheetData>
    <row r="1">
      <c r="A1" s="24" t="inlineStr">
        <is>
          <t>Sorun Türü</t>
        </is>
      </c>
      <c r="B1" s="24" t="inlineStr">
        <is>
          <t>Satır Sayısı</t>
        </is>
      </c>
      <c r="C1" s="24" t="inlineStr">
        <is>
          <t>Doldurulan (Doğru Barkod)</t>
        </is>
      </c>
    </row>
    <row r="2">
      <c r="A2" s="25" t="inlineStr">
        <is>
          <t>GEÇERSİZ BARKOD</t>
        </is>
      </c>
      <c r="B2" s="25">
        <f>COUNTIF('Düzeltilecekler'!$C$2:$C$119,"*GEÇERSİZ BARKOD*")</f>
        <v/>
      </c>
      <c r="C2" s="25">
        <f>COUNTIFS('Düzeltilecekler'!$C$2:$C$119,"*GEÇERSİZ BARKOD*",'Düzeltilecekler'!$I$2:$I$119,"&lt;&gt;")</f>
        <v/>
      </c>
    </row>
    <row r="3">
      <c r="A3" s="25" t="inlineStr">
        <is>
          <t>ORTAK BARKOD</t>
        </is>
      </c>
      <c r="B3" s="25">
        <f>COUNTIF('Düzeltilecekler'!$C$2:$C$119,"*ORTAK BARKOD*")</f>
        <v/>
      </c>
      <c r="C3" s="25">
        <f>COUNTIFS('Düzeltilecekler'!$C$2:$C$119,"*ORTAK BARKOD*",'Düzeltilecekler'!$I$2:$I$119,"&lt;&gt;")</f>
        <v/>
      </c>
    </row>
    <row r="4">
      <c r="A4" s="25" t="inlineStr">
        <is>
          <t>KODA BİRDEN FAZLA BARKOD</t>
        </is>
      </c>
      <c r="B4" s="25">
        <f>COUNTIF('Düzeltilecekler'!$C$2:$C$119,"*KODA BİRDEN FAZLA BARKOD*")</f>
        <v/>
      </c>
      <c r="C4" s="25">
        <f>COUNTIFS('Düzeltilecekler'!$C$2:$C$119,"*KODA BİRDEN FAZLA BARKOD*",'Düzeltilecekler'!$I$2:$I$119,"&lt;&gt;")</f>
        <v/>
      </c>
    </row>
    <row r="5">
      <c r="A5" s="25" t="inlineStr">
        <is>
          <t>ÖNCEKİ LİSTEYLE ÇELİŞKİ</t>
        </is>
      </c>
      <c r="B5" s="25">
        <f>COUNTIF('Düzeltilecekler'!$C$2:$C$119,"*ÖNCEKİ LİSTEYLE ÇELİŞKİ*")</f>
        <v/>
      </c>
      <c r="C5" s="25">
        <f>COUNTIFS('Düzeltilecekler'!$C$2:$C$119,"*ÖNCEKİ LİSTEYLE ÇELİŞKİ*",'Düzeltilecekler'!$I$2:$I$119,"&lt;&gt;")</f>
        <v/>
      </c>
    </row>
    <row r="6">
      <c r="A6" s="25" t="inlineStr">
        <is>
          <t>ÜRÜN KODU YOK</t>
        </is>
      </c>
      <c r="B6" s="25">
        <f>COUNTIF('Düzeltilecekler'!$C$2:$C$119,"*ÜRÜN KODU YOK*")</f>
        <v/>
      </c>
      <c r="C6" s="25">
        <f>COUNTIFS('Düzeltilecekler'!$C$2:$C$119,"*ÜRÜN KODU YOK*",'Düzeltilecekler'!$I$2:$I$119,"&lt;&gt;")</f>
        <v/>
      </c>
    </row>
    <row r="7">
      <c r="A7" s="25" t="inlineStr">
        <is>
          <t>KOD STANDART DIŞI</t>
        </is>
      </c>
      <c r="B7" s="25">
        <f>COUNTIF('Düzeltilecekler'!$C$2:$C$119,"*KOD STANDART DIŞI*")</f>
        <v/>
      </c>
      <c r="C7" s="25">
        <f>COUNTIFS('Düzeltilecekler'!$C$2:$C$119,"*KOD STANDART DIŞI*",'Düzeltilecekler'!$I$2:$I$119,"&lt;&gt;")</f>
        <v/>
      </c>
    </row>
    <row r="8">
      <c r="A8" s="25" t="inlineStr">
        <is>
          <t>FARKLI FİRMA ÖNEKİ</t>
        </is>
      </c>
      <c r="B8" s="25">
        <f>COUNTIF('Düzeltilecekler'!$C$2:$C$119,"*FARKLI FİRMA ÖNEKİ*")</f>
        <v/>
      </c>
      <c r="C8" s="25">
        <f>COUNTIFS('Düzeltilecekler'!$C$2:$C$119,"*FARKLI FİRMA ÖNEKİ*",'Düzeltilecekler'!$I$2:$I$119,"&lt;&gt;")</f>
        <v/>
      </c>
    </row>
    <row r="9">
      <c r="A9" s="25" t="inlineStr">
        <is>
          <t>AYNI ÜRÜN – FARKLI ÖNEK</t>
        </is>
      </c>
      <c r="B9" s="25">
        <f>COUNTIF('Düzeltilecekler'!$C$2:$C$119,"*AYNI ÜRÜN – FARKLI ÖNEK*")</f>
        <v/>
      </c>
      <c r="C9" s="25">
        <f>COUNTIFS('Düzeltilecekler'!$C$2:$C$119,"*AYNI ÜRÜN – FARKLI ÖNEK*",'Düzeltilecekler'!$I$2:$I$119,"&lt;&gt;")</f>
        <v/>
      </c>
    </row>
    <row r="10">
      <c r="A10" s="25" t="inlineStr">
        <is>
          <t>TEKRAR SATIR</t>
        </is>
      </c>
      <c r="B10" s="25">
        <f>COUNTIF('Düzeltilecekler'!$C$2:$C$119,"*TEKRAR SATIR*")</f>
        <v/>
      </c>
      <c r="C10" s="25">
        <f>COUNTIFS('Düzeltilecekler'!$C$2:$C$119,"*TEKRAR SATIR*",'Düzeltilecekler'!$I$2:$I$119,"&lt;&gt;")</f>
        <v/>
      </c>
    </row>
    <row r="11">
      <c r="A11" s="26" t="inlineStr">
        <is>
          <t>Toplam sorunlu satır</t>
        </is>
      </c>
      <c r="B11" s="26">
        <f>COUNTA('Düzeltilecekler'!$A$2:$A$119)</f>
        <v/>
      </c>
      <c r="C11" s="26">
        <f>COUNTA('Düzeltilecekler'!$I$2:$I$119)</f>
        <v/>
      </c>
    </row>
    <row r="13">
      <c r="A13" s="7" t="inlineStr">
        <is>
          <t>Not: Bir satırda birden fazla sorun olabilir; tür sayılarının toplamı toplam satırdan fazla olabilir.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17" customWidth="1" min="4" max="4"/>
    <col width="60" customWidth="1" min="5" max="5"/>
  </cols>
  <sheetData>
    <row r="1">
      <c r="A1" s="24" t="inlineStr">
        <is>
          <t>Excel Satırı</t>
        </is>
      </c>
      <c r="B1" s="24" t="inlineStr">
        <is>
          <t>Ürün Adı</t>
        </is>
      </c>
      <c r="C1" s="24" t="inlineStr">
        <is>
          <t>Ürün Kodu</t>
        </is>
      </c>
      <c r="D1" s="24" t="inlineStr">
        <is>
          <t>Barkod</t>
        </is>
      </c>
      <c r="E1" s="24" t="inlineStr">
        <is>
          <t>Durum</t>
        </is>
      </c>
    </row>
    <row r="2">
      <c r="A2" s="25" t="n">
        <v>2</v>
      </c>
      <c r="B2" s="25" t="inlineStr">
        <is>
          <t>DNC-129  2,Lİ PASTA SET GOLD TÜY</t>
        </is>
      </c>
      <c r="C2" s="25" t="inlineStr">
        <is>
          <t>DNC_129</t>
        </is>
      </c>
      <c r="D2" s="27" t="inlineStr">
        <is>
          <t>8683613550395</t>
        </is>
      </c>
      <c r="E2" s="28" t="inlineStr">
        <is>
          <t>Düzeltilecek: AYNI ÜRÜN – FARKLI ÖNEK</t>
        </is>
      </c>
    </row>
    <row r="3">
      <c r="A3" s="25" t="n">
        <v>3</v>
      </c>
      <c r="B3" s="25" t="inlineStr">
        <is>
          <t>DNC-130  2,Lİ PASTA SET GÜMÜŞ TÜY</t>
        </is>
      </c>
      <c r="C3" s="25" t="inlineStr">
        <is>
          <t>DNC_130</t>
        </is>
      </c>
      <c r="D3" s="27" t="inlineStr">
        <is>
          <t>8683613550401</t>
        </is>
      </c>
      <c r="E3" s="28" t="inlineStr">
        <is>
          <t>Düzeltilecek: AYNI ÜRÜN – FARKLI ÖNEK</t>
        </is>
      </c>
    </row>
    <row r="4">
      <c r="A4" s="25" t="n">
        <v>4</v>
      </c>
      <c r="B4" s="25" t="inlineStr">
        <is>
          <t>DNC-153 5,Lİ SOS SERVİS TÜY GOLD</t>
        </is>
      </c>
      <c r="C4" s="25" t="inlineStr">
        <is>
          <t>DNC_153</t>
        </is>
      </c>
      <c r="D4" s="27" t="inlineStr">
        <is>
          <t>8683613550760</t>
        </is>
      </c>
      <c r="E4" s="29" t="inlineStr">
        <is>
          <t>Düzeltilecek: ORTAK BARKOD</t>
        </is>
      </c>
    </row>
    <row r="5">
      <c r="A5" s="25" t="n">
        <v>5</v>
      </c>
      <c r="B5" s="25" t="inlineStr">
        <is>
          <t>DNC-154 5,Lİ SOS SERVİS SET GÜMÜŞ TÜY</t>
        </is>
      </c>
      <c r="C5" s="25" t="inlineStr">
        <is>
          <t>DNC_154</t>
        </is>
      </c>
      <c r="D5" s="27" t="inlineStr">
        <is>
          <t>8683613550777</t>
        </is>
      </c>
      <c r="E5" s="29" t="inlineStr">
        <is>
          <t>Düzeltilecek: ORTAK BARKOD</t>
        </is>
      </c>
    </row>
    <row r="6">
      <c r="A6" s="25" t="n">
        <v>6</v>
      </c>
      <c r="B6" s="25" t="inlineStr">
        <is>
          <t>DNC_151 GOLD KELEBEK SOS SERVİS SET</t>
        </is>
      </c>
      <c r="C6" s="25" t="inlineStr">
        <is>
          <t>DNC_151</t>
        </is>
      </c>
      <c r="D6" s="27" t="inlineStr">
        <is>
          <t>8683613550326</t>
        </is>
      </c>
      <c r="E6" s="25" t="inlineStr">
        <is>
          <t>Sorun yok</t>
        </is>
      </c>
    </row>
    <row r="7">
      <c r="A7" s="25" t="n">
        <v>7</v>
      </c>
      <c r="B7" s="25" t="inlineStr">
        <is>
          <t>DNC_152 GÜMÜŞ KELEBEK SOS SERVİS SET</t>
        </is>
      </c>
      <c r="C7" s="25" t="inlineStr">
        <is>
          <t>DNC_152</t>
        </is>
      </c>
      <c r="D7" s="27" t="inlineStr">
        <is>
          <t>8683613550340</t>
        </is>
      </c>
      <c r="E7" s="25" t="inlineStr">
        <is>
          <t>Sorun yok</t>
        </is>
      </c>
    </row>
    <row r="8">
      <c r="A8" s="25" t="n">
        <v>8</v>
      </c>
      <c r="B8" s="25" t="inlineStr">
        <is>
          <t>DNC_181 ORKİDE ÇAY KAŞIK 6,LI SADE</t>
        </is>
      </c>
      <c r="C8" s="25" t="inlineStr">
        <is>
          <t>DNC_181</t>
        </is>
      </c>
      <c r="D8" s="27" t="inlineStr">
        <is>
          <t>8683613550678</t>
        </is>
      </c>
      <c r="E8" s="29" t="inlineStr">
        <is>
          <t>Düzeltilecek: ORTAK BARKOD, KODA BİRDEN FAZLA BARKOD</t>
        </is>
      </c>
    </row>
    <row r="9">
      <c r="A9" s="25" t="n">
        <v>9</v>
      </c>
      <c r="B9" s="25" t="inlineStr">
        <is>
          <t>DNC_182 LİLİUM GÜMÜŞ AMBER SOS SERVİS SET</t>
        </is>
      </c>
      <c r="C9" s="25" t="inlineStr">
        <is>
          <t>DNC_182</t>
        </is>
      </c>
      <c r="D9" s="27" t="inlineStr">
        <is>
          <t>8683613550784</t>
        </is>
      </c>
      <c r="E9" s="29" t="inlineStr">
        <is>
          <t>Düzeltilecek: ORTAK BARKOD</t>
        </is>
      </c>
    </row>
    <row r="10">
      <c r="A10" s="25" t="n">
        <v>10</v>
      </c>
      <c r="B10" s="25" t="inlineStr">
        <is>
          <t>DNC_183 LİLİUM GOLD WHİTE SOS SERVİS SET</t>
        </is>
      </c>
      <c r="C10" s="25" t="inlineStr">
        <is>
          <t>DNC_183</t>
        </is>
      </c>
      <c r="D10" s="27" t="inlineStr">
        <is>
          <t>8683613550791</t>
        </is>
      </c>
      <c r="E10" s="29" t="inlineStr">
        <is>
          <t>Düzeltilecek: ORTAK BARKOD</t>
        </is>
      </c>
    </row>
    <row r="11">
      <c r="A11" s="25" t="n">
        <v>11</v>
      </c>
      <c r="B11" s="25" t="inlineStr">
        <is>
          <t>DNC_184 LİLİUM GOLD BLACK SOS SERVİS SET</t>
        </is>
      </c>
      <c r="C11" s="25" t="inlineStr">
        <is>
          <t>DNC_184</t>
        </is>
      </c>
      <c r="D11" s="27" t="inlineStr">
        <is>
          <t>8683613550807</t>
        </is>
      </c>
      <c r="E11" s="29" t="inlineStr">
        <is>
          <t>Düzeltilecek: ORTAK BARKOD</t>
        </is>
      </c>
    </row>
    <row r="12">
      <c r="A12" s="25" t="n">
        <v>12</v>
      </c>
      <c r="B12" s="25" t="inlineStr">
        <is>
          <t>DNC_185 LİLİUM GOLD AMBER SOS SERVİS SET</t>
        </is>
      </c>
      <c r="C12" s="25" t="inlineStr">
        <is>
          <t>DNC_185</t>
        </is>
      </c>
      <c r="D12" s="27" t="inlineStr">
        <is>
          <t>8683613550814</t>
        </is>
      </c>
      <c r="E12" s="25" t="inlineStr">
        <is>
          <t>Sorun yok</t>
        </is>
      </c>
    </row>
    <row r="13">
      <c r="A13" s="25" t="n">
        <v>13</v>
      </c>
      <c r="B13" s="25" t="inlineStr">
        <is>
          <t>DNC_196 2,Lİ GÜMÜŞ TÜY PASTA SERVİS SET</t>
        </is>
      </c>
      <c r="C13" s="25" t="inlineStr">
        <is>
          <t>DNC_196</t>
        </is>
      </c>
      <c r="D13" s="27" t="inlineStr">
        <is>
          <t>8683613550890</t>
        </is>
      </c>
      <c r="E13" s="25" t="inlineStr">
        <is>
          <t>Sorun yok</t>
        </is>
      </c>
    </row>
    <row r="14">
      <c r="A14" s="25" t="n">
        <v>14</v>
      </c>
      <c r="B14" s="25" t="inlineStr">
        <is>
          <t>DNC_197 5,Lİ GÜMÜŞ TÜY SOS SERVİS SET</t>
        </is>
      </c>
      <c r="C14" s="25" t="inlineStr">
        <is>
          <t>DNC_197</t>
        </is>
      </c>
      <c r="D14" s="27" t="inlineStr">
        <is>
          <t>8683613550906</t>
        </is>
      </c>
      <c r="E14" s="28" t="inlineStr">
        <is>
          <t>Düzeltilecek: AYNI ÜRÜN – FARKLI ÖNEK</t>
        </is>
      </c>
    </row>
    <row r="15">
      <c r="A15" s="25" t="n">
        <v>15</v>
      </c>
      <c r="B15" s="25" t="inlineStr">
        <is>
          <t>DNC_198 2,Lİ GOLD TÜY PASTA SERVİS SET</t>
        </is>
      </c>
      <c r="C15" s="25" t="inlineStr">
        <is>
          <t>DNC_198</t>
        </is>
      </c>
      <c r="D15" s="27" t="inlineStr">
        <is>
          <t>8683613550913</t>
        </is>
      </c>
      <c r="E15" s="25" t="inlineStr">
        <is>
          <t>Sorun yok</t>
        </is>
      </c>
    </row>
    <row r="16">
      <c r="A16" s="25" t="n">
        <v>16</v>
      </c>
      <c r="B16" s="25" t="inlineStr">
        <is>
          <t>DNC_199 5,Lİ GOLD TÜY SOS SERVİS SET</t>
        </is>
      </c>
      <c r="C16" s="25" t="inlineStr">
        <is>
          <t>DNC_199</t>
        </is>
      </c>
      <c r="D16" s="27" t="inlineStr">
        <is>
          <t>8683613550920</t>
        </is>
      </c>
      <c r="E16" s="28" t="inlineStr">
        <is>
          <t>Düzeltilecek: AYNI ÜRÜN – FARKLI ÖNEK</t>
        </is>
      </c>
    </row>
    <row r="17">
      <c r="A17" s="25" t="n">
        <v>17</v>
      </c>
      <c r="B17" s="25" t="inlineStr">
        <is>
          <t>DNC_200 2,Lİ GÜMÜŞ PASTA SET</t>
        </is>
      </c>
      <c r="C17" s="25" t="inlineStr">
        <is>
          <t>DNC_200</t>
        </is>
      </c>
      <c r="D17" s="27" t="inlineStr">
        <is>
          <t>8683613550937</t>
        </is>
      </c>
      <c r="E17" s="25" t="inlineStr">
        <is>
          <t>Sorun yok</t>
        </is>
      </c>
    </row>
    <row r="18">
      <c r="A18" s="25" t="n">
        <v>18</v>
      </c>
      <c r="B18" s="25" t="inlineStr">
        <is>
          <t>DNC_201  2,Lİ GOLD PASTA SET</t>
        </is>
      </c>
      <c r="C18" s="25" t="inlineStr">
        <is>
          <t>DNC_201</t>
        </is>
      </c>
      <c r="D18" s="27" t="inlineStr">
        <is>
          <t>8683613550944</t>
        </is>
      </c>
      <c r="E18" s="25" t="inlineStr">
        <is>
          <t>Sorun yok</t>
        </is>
      </c>
    </row>
    <row r="19">
      <c r="A19" s="25" t="n">
        <v>19</v>
      </c>
      <c r="B19" s="25" t="inlineStr">
        <is>
          <t>DNC_202  2,Lİ GOLD BLACK  PASTA SET</t>
        </is>
      </c>
      <c r="C19" s="25" t="inlineStr">
        <is>
          <t>DNC_202</t>
        </is>
      </c>
      <c r="D19" s="27" t="inlineStr">
        <is>
          <t>8683613550951</t>
        </is>
      </c>
      <c r="E19" s="25" t="inlineStr">
        <is>
          <t>Sorun yok</t>
        </is>
      </c>
    </row>
    <row r="20">
      <c r="A20" s="25" t="n">
        <v>20</v>
      </c>
      <c r="B20" s="25" t="inlineStr">
        <is>
          <t>DNC_203  2,Lİ MAT GOLD PASTA SET</t>
        </is>
      </c>
      <c r="C20" s="25" t="inlineStr">
        <is>
          <t>DNC_203</t>
        </is>
      </c>
      <c r="D20" s="27" t="inlineStr">
        <is>
          <t>8683613550968</t>
        </is>
      </c>
      <c r="E20" s="25" t="inlineStr">
        <is>
          <t>Sorun yok</t>
        </is>
      </c>
    </row>
    <row r="21">
      <c r="A21" s="25" t="n">
        <v>21</v>
      </c>
      <c r="B21" s="25" t="inlineStr">
        <is>
          <t>DNC_204  2,Lİ ANTİK MAT GOLD PASTA SET</t>
        </is>
      </c>
      <c r="C21" s="25" t="inlineStr">
        <is>
          <t>DNC_204</t>
        </is>
      </c>
      <c r="D21" s="27" t="inlineStr">
        <is>
          <t>8683613550975</t>
        </is>
      </c>
      <c r="E21" s="25" t="inlineStr">
        <is>
          <t>Sorun yok</t>
        </is>
      </c>
    </row>
    <row r="22">
      <c r="A22" s="25" t="n">
        <v>22</v>
      </c>
      <c r="B22" s="25" t="inlineStr">
        <is>
          <t>DNC_205  5,Lİ ZERAFET GÜMÜŞ SERVİS SET</t>
        </is>
      </c>
      <c r="C22" s="25" t="inlineStr">
        <is>
          <t>DNC_205</t>
        </is>
      </c>
      <c r="D22" s="27" t="inlineStr">
        <is>
          <t>8683613550982</t>
        </is>
      </c>
      <c r="E22" s="28" t="inlineStr">
        <is>
          <t>Düzeltilecek: AYNI ÜRÜN – FARKLI ÖNEK</t>
        </is>
      </c>
    </row>
    <row r="23">
      <c r="A23" s="25" t="n">
        <v>23</v>
      </c>
      <c r="B23" s="25" t="inlineStr">
        <is>
          <t>DNC_206 ZERAFET 5,Lİ GOLD SERVİS SET</t>
        </is>
      </c>
      <c r="C23" s="25" t="inlineStr">
        <is>
          <t>DNC_206</t>
        </is>
      </c>
      <c r="D23" s="27" t="inlineStr">
        <is>
          <t>8683613550999</t>
        </is>
      </c>
      <c r="E23" s="28" t="inlineStr">
        <is>
          <t>Düzeltilecek: AYNI ÜRÜN – FARKLI ÖNEK</t>
        </is>
      </c>
    </row>
    <row r="24">
      <c r="A24" s="25" t="n">
        <v>24</v>
      </c>
      <c r="B24" s="25" t="inlineStr">
        <is>
          <t>DNC_207  5,Lİ GOLD BLACK SERVİS SET</t>
        </is>
      </c>
      <c r="C24" s="25" t="inlineStr">
        <is>
          <t>DNC_207</t>
        </is>
      </c>
      <c r="D24" s="27" t="inlineStr">
        <is>
          <t>8683613550005</t>
        </is>
      </c>
      <c r="E24" s="29" t="inlineStr">
        <is>
          <t>Düzeltilecek: ORTAK BARKOD</t>
        </is>
      </c>
    </row>
    <row r="25">
      <c r="A25" s="25" t="n">
        <v>25</v>
      </c>
      <c r="B25" s="25" t="inlineStr">
        <is>
          <t>DNC_208  5,Lİ MAT GOLD SERVİS SET</t>
        </is>
      </c>
      <c r="C25" s="25" t="inlineStr">
        <is>
          <t>DNC_208</t>
        </is>
      </c>
      <c r="D25" s="27" t="inlineStr">
        <is>
          <t>8683613550012</t>
        </is>
      </c>
      <c r="E25" s="29" t="inlineStr">
        <is>
          <t>Düzeltilecek: ORTAK BARKOD</t>
        </is>
      </c>
    </row>
    <row r="26">
      <c r="A26" s="25" t="n">
        <v>26</v>
      </c>
      <c r="B26" s="25" t="inlineStr">
        <is>
          <t>DNC_209 ZERAFERT 5,Lİ ANTİK  GOLD SERVİS SET</t>
        </is>
      </c>
      <c r="C26" s="25" t="inlineStr">
        <is>
          <t>DNC_209</t>
        </is>
      </c>
      <c r="D26" s="27" t="inlineStr">
        <is>
          <t>8683613550029</t>
        </is>
      </c>
      <c r="E26" s="29" t="inlineStr">
        <is>
          <t>Düzeltilecek: ORTAK BARKOD</t>
        </is>
      </c>
    </row>
    <row r="27">
      <c r="A27" s="25" t="n">
        <v>27</v>
      </c>
      <c r="B27" s="25" t="inlineStr">
        <is>
          <t>COŞ_D 036 MAKARNA MAŞASI</t>
        </is>
      </c>
      <c r="C27" s="25" t="inlineStr">
        <is>
          <t>COŞ_D036</t>
        </is>
      </c>
      <c r="D27" s="27" t="inlineStr">
        <is>
          <t>8683613550722</t>
        </is>
      </c>
      <c r="E27" s="29" t="inlineStr">
        <is>
          <t>Düzeltilecek: ORTAK BARKOD</t>
        </is>
      </c>
    </row>
    <row r="28">
      <c r="A28" s="25" t="n">
        <v>28</v>
      </c>
      <c r="B28" s="25" t="inlineStr">
        <is>
          <t>COŞ_D 037 SALATA MAŞASI</t>
        </is>
      </c>
      <c r="C28" s="25" t="inlineStr">
        <is>
          <t>COŞ_D037</t>
        </is>
      </c>
      <c r="D28" s="27" t="inlineStr">
        <is>
          <t>8683613550708</t>
        </is>
      </c>
      <c r="E28" s="29" t="inlineStr">
        <is>
          <t>Düzeltilecek: ORTAK BARKOD</t>
        </is>
      </c>
    </row>
    <row r="29">
      <c r="A29" s="25" t="n">
        <v>29</v>
      </c>
      <c r="B29" s="25" t="inlineStr">
        <is>
          <t>COŞ_D 038 PASTA MAŞASI</t>
        </is>
      </c>
      <c r="C29" s="25" t="inlineStr">
        <is>
          <t>COŞ_D038</t>
        </is>
      </c>
      <c r="D29" s="27" t="inlineStr">
        <is>
          <t>8683613550715</t>
        </is>
      </c>
      <c r="E29" s="29" t="inlineStr">
        <is>
          <t>Düzeltilecek: ORTAK BARKOD</t>
        </is>
      </c>
    </row>
    <row r="30">
      <c r="A30" s="25" t="n">
        <v>30</v>
      </c>
      <c r="B30" s="25" t="inlineStr">
        <is>
          <t>COŞ_D 048 6'LI İSTİRİDYE ÇAY  KAŞIK SADE</t>
        </is>
      </c>
      <c r="C30" s="25" t="inlineStr">
        <is>
          <t>COŞ_D048</t>
        </is>
      </c>
      <c r="D30" s="27" t="inlineStr">
        <is>
          <t>8683581657973</t>
        </is>
      </c>
      <c r="E30" s="28" t="inlineStr">
        <is>
          <t>Düzeltilecek: AYNI ÜRÜN – FARKLI ÖNEK</t>
        </is>
      </c>
    </row>
    <row r="31">
      <c r="A31" s="25" t="n">
        <v>31</v>
      </c>
      <c r="B31" s="25" t="inlineStr">
        <is>
          <t>COŞ_D 126 GOLD BEYAZ KELEBEKLİ  MAŞA SET</t>
        </is>
      </c>
      <c r="C31" s="25" t="inlineStr">
        <is>
          <t>COŞ_D126</t>
        </is>
      </c>
      <c r="D31" s="27" t="inlineStr">
        <is>
          <t>8683613550364</t>
        </is>
      </c>
      <c r="E31" s="29" t="inlineStr">
        <is>
          <t>Düzeltilecek: ORTAK BARKOD</t>
        </is>
      </c>
    </row>
    <row r="32">
      <c r="A32" s="25" t="n">
        <v>32</v>
      </c>
      <c r="B32" s="25" t="inlineStr">
        <is>
          <t>COŞ_D 150  ŞEKER  MAŞASI 1 ADET</t>
        </is>
      </c>
      <c r="C32" s="25" t="inlineStr">
        <is>
          <t>COŞ_D150</t>
        </is>
      </c>
      <c r="D32" s="27" t="inlineStr">
        <is>
          <t>8683613550739</t>
        </is>
      </c>
      <c r="E32" s="29" t="inlineStr">
        <is>
          <t>Düzeltilecek: ORTAK BARKOD</t>
        </is>
      </c>
    </row>
    <row r="33">
      <c r="A33" s="25" t="n">
        <v>33</v>
      </c>
      <c r="B33" s="25" t="inlineStr">
        <is>
          <t>COŞ_D 160 OKYANUS SOS SERVİS KEPÇE</t>
        </is>
      </c>
      <c r="C33" s="25" t="inlineStr">
        <is>
          <t>COŞ_D160</t>
        </is>
      </c>
      <c r="D33" s="27" t="inlineStr">
        <is>
          <t>8683613550547</t>
        </is>
      </c>
      <c r="E33" s="30" t="inlineStr">
        <is>
          <t>Düzeltilecek: GEÇERSİZ BARKOD, AYNI ÜRÜN – FARKLI ÖNEK</t>
        </is>
      </c>
    </row>
    <row r="34">
      <c r="A34" s="25" t="n">
        <v>34</v>
      </c>
      <c r="B34" s="25" t="inlineStr">
        <is>
          <t>COŞ_D 162 OKYANUS SOS SERVİS KAŞIK</t>
        </is>
      </c>
      <c r="C34" s="25" t="inlineStr">
        <is>
          <t>COŞ_D162</t>
        </is>
      </c>
      <c r="D34" s="27" t="inlineStr">
        <is>
          <t>8683613550371</t>
        </is>
      </c>
      <c r="E34" s="29" t="inlineStr">
        <is>
          <t>Düzeltilecek: ORTAK BARKOD</t>
        </is>
      </c>
    </row>
    <row r="35">
      <c r="A35" s="25" t="n">
        <v>35</v>
      </c>
      <c r="B35" s="25" t="inlineStr">
        <is>
          <t>COŞ_D 163OKYANUS SOS SERVİS SPATULA</t>
        </is>
      </c>
      <c r="C35" s="25" t="inlineStr">
        <is>
          <t>COŞ_D163</t>
        </is>
      </c>
      <c r="D35" s="27" t="inlineStr">
        <is>
          <t>8683613550364</t>
        </is>
      </c>
      <c r="E35" s="29" t="inlineStr">
        <is>
          <t>Düzeltilecek: ORTAK BARKOD</t>
        </is>
      </c>
    </row>
    <row r="36">
      <c r="A36" s="25" t="n">
        <v>36</v>
      </c>
      <c r="B36" s="25" t="inlineStr">
        <is>
          <t>COŞ_D 180 İSTİRİDYE GOLD ÇAY KAŞIK 6,LI</t>
        </is>
      </c>
      <c r="C36" s="25" t="inlineStr">
        <is>
          <t>COŞ_D180</t>
        </is>
      </c>
      <c r="D36" s="27" t="inlineStr">
        <is>
          <t>8683613550760</t>
        </is>
      </c>
      <c r="E36" s="29" t="inlineStr">
        <is>
          <t>Düzeltilecek: ORTAK BARKOD</t>
        </is>
      </c>
    </row>
    <row r="37">
      <c r="A37" s="25" t="n">
        <v>37</v>
      </c>
      <c r="B37" s="25" t="inlineStr">
        <is>
          <t>COŞ_D 181 ORKİDE ÇAY KAŞIK 6,LI SADE</t>
        </is>
      </c>
      <c r="C37" s="25" t="inlineStr">
        <is>
          <t>COŞ_D181</t>
        </is>
      </c>
      <c r="D37" s="27" t="inlineStr">
        <is>
          <t>8683613550036</t>
        </is>
      </c>
      <c r="E37" s="29" t="inlineStr">
        <is>
          <t>Düzeltilecek: ORTAK BARKOD</t>
        </is>
      </c>
    </row>
    <row r="38">
      <c r="A38" s="25" t="n">
        <v>38</v>
      </c>
      <c r="B38" s="25" t="inlineStr">
        <is>
          <t>COŞ_D023 1 AD  İSTİRİDYE GOLD ŞEKER MAŞASI</t>
        </is>
      </c>
      <c r="C38" s="25" t="inlineStr">
        <is>
          <t>COŞ_D023</t>
        </is>
      </c>
      <c r="D38" s="27" t="inlineStr">
        <is>
          <t>8683581657928</t>
        </is>
      </c>
      <c r="E38" s="28" t="inlineStr">
        <is>
          <t>Düzeltilecek: AYNI ÜRÜN – FARKLI ÖNEK</t>
        </is>
      </c>
    </row>
    <row r="39">
      <c r="A39" s="25" t="n">
        <v>39</v>
      </c>
      <c r="B39" s="25" t="inlineStr">
        <is>
          <t>COŞ_D120 GOLD KELEBEK MAŞA SET</t>
        </is>
      </c>
      <c r="C39" s="25" t="inlineStr">
        <is>
          <t>COŞ_D120</t>
        </is>
      </c>
      <c r="D39" s="27" t="inlineStr">
        <is>
          <t>8683581657690</t>
        </is>
      </c>
      <c r="E39" s="28" t="inlineStr">
        <is>
          <t>Düzeltilecek: AYNI ÜRÜN – FARKLI ÖNEK</t>
        </is>
      </c>
    </row>
    <row r="40">
      <c r="A40" s="25" t="n">
        <v>40</v>
      </c>
      <c r="B40" s="25" t="inlineStr">
        <is>
          <t>COŞ_D123 GÜMÜŞ KELEBEK MAŞA SET</t>
        </is>
      </c>
      <c r="C40" s="25" t="inlineStr">
        <is>
          <t>COŞ_D123</t>
        </is>
      </c>
      <c r="D40" s="27" t="inlineStr">
        <is>
          <t>8683613550623</t>
        </is>
      </c>
      <c r="E40" s="28" t="inlineStr">
        <is>
          <t>Düzeltilecek: AYNI ÜRÜN – FARKLI ÖNEK</t>
        </is>
      </c>
    </row>
    <row r="41">
      <c r="A41" s="25" t="n">
        <v>41</v>
      </c>
      <c r="B41" s="25" t="inlineStr">
        <is>
          <t>COŞ_D133  GÜMÜŞ  BEYAZ KELEBEK MAŞA SET</t>
        </is>
      </c>
      <c r="C41" s="25" t="inlineStr">
        <is>
          <t>COŞ_D133</t>
        </is>
      </c>
      <c r="D41" s="27" t="inlineStr">
        <is>
          <t>8683613550432</t>
        </is>
      </c>
      <c r="E41" s="28" t="inlineStr">
        <is>
          <t>Düzeltilecek: AYNI ÜRÜN – FARKLI ÖNEK</t>
        </is>
      </c>
    </row>
    <row r="42">
      <c r="A42" s="25" t="n">
        <v>42</v>
      </c>
      <c r="B42" s="25" t="inlineStr">
        <is>
          <t>COŞ_D165 5,Lİ SOS SERVİS TK SADE</t>
        </is>
      </c>
      <c r="C42" s="25" t="inlineStr">
        <is>
          <t>COŞ_D165</t>
        </is>
      </c>
      <c r="D42" s="27" t="inlineStr">
        <is>
          <t>8683613550616</t>
        </is>
      </c>
      <c r="E42" s="28" t="inlineStr">
        <is>
          <t>Düzeltilecek: AYNI ÜRÜN – FARKLI ÖNEK</t>
        </is>
      </c>
    </row>
    <row r="43">
      <c r="A43" s="25" t="n">
        <v>43</v>
      </c>
      <c r="B43" s="25" t="inlineStr">
        <is>
          <t>COŞ_D166 SOS KEPÇE TİTANİUM</t>
        </is>
      </c>
      <c r="C43" s="25" t="inlineStr">
        <is>
          <t>COŞ_D166</t>
        </is>
      </c>
      <c r="D43" s="27" t="inlineStr">
        <is>
          <t>8683613550661</t>
        </is>
      </c>
      <c r="E43" s="29" t="inlineStr">
        <is>
          <t>Düzeltilecek: ORTAK BARKOD</t>
        </is>
      </c>
    </row>
    <row r="44">
      <c r="A44" s="25" t="n">
        <v>44</v>
      </c>
      <c r="B44" s="25" t="inlineStr">
        <is>
          <t>COŞ_D168 SOS KAŞIK TİTANİUM</t>
        </is>
      </c>
      <c r="C44" s="25" t="inlineStr">
        <is>
          <t>COŞ_D168</t>
        </is>
      </c>
      <c r="D44" s="27" t="inlineStr">
        <is>
          <t>8683613550685</t>
        </is>
      </c>
      <c r="E44" s="29" t="inlineStr">
        <is>
          <t>Düzeltilecek: ORTAK BARKOD</t>
        </is>
      </c>
    </row>
    <row r="45">
      <c r="A45" s="25" t="n">
        <v>45</v>
      </c>
      <c r="B45" s="25" t="inlineStr">
        <is>
          <t>COŞ_D169  SOS SPATULA TİTANİUM</t>
        </is>
      </c>
      <c r="C45" s="25" t="inlineStr">
        <is>
          <t>COŞ_D169</t>
        </is>
      </c>
      <c r="D45" s="27" t="inlineStr">
        <is>
          <t>8683613550692</t>
        </is>
      </c>
      <c r="E45" s="29" t="inlineStr">
        <is>
          <t>Düzeltilecek: ORTAK BARKOD</t>
        </is>
      </c>
    </row>
    <row r="46">
      <c r="A46" s="25" t="n">
        <v>46</v>
      </c>
      <c r="B46" s="25" t="inlineStr">
        <is>
          <t>COŞ_D171 5,Lİ SOS SERVİS TK TİTANİUM</t>
        </is>
      </c>
      <c r="C46" s="25" t="inlineStr">
        <is>
          <t>COŞ_D171</t>
        </is>
      </c>
      <c r="D46" s="27" t="inlineStr">
        <is>
          <t>8683613550678</t>
        </is>
      </c>
      <c r="E46" s="29" t="inlineStr">
        <is>
          <t>Düzeltilecek: ORTAK BARKOD</t>
        </is>
      </c>
    </row>
    <row r="47">
      <c r="A47" s="25" t="n">
        <v>47</v>
      </c>
      <c r="B47" s="25" t="inlineStr">
        <is>
          <t>COŞ_D193 SALATA MAŞASI TİTANİUM</t>
        </is>
      </c>
      <c r="C47" s="25" t="inlineStr">
        <is>
          <t>COŞ_D193</t>
        </is>
      </c>
      <c r="D47" s="27" t="inlineStr">
        <is>
          <t>8683613550289</t>
        </is>
      </c>
      <c r="E47" s="28" t="inlineStr">
        <is>
          <t>Düzeltilecek: AYNI ÜRÜN – FARKLI ÖNEK</t>
        </is>
      </c>
    </row>
    <row r="48">
      <c r="A48" s="25" t="n">
        <v>48</v>
      </c>
      <c r="B48" s="25" t="inlineStr">
        <is>
          <t>COŞ_D194 PASTA MAŞASI TİTANİUM</t>
        </is>
      </c>
      <c r="C48" s="25" t="inlineStr">
        <is>
          <t>COŞ_D194</t>
        </is>
      </c>
      <c r="D48" s="27" t="inlineStr">
        <is>
          <t>8683613550654</t>
        </is>
      </c>
      <c r="E48" s="28" t="inlineStr">
        <is>
          <t>Düzeltilecek: AYNI ÜRÜN – FARKLI ÖNEK</t>
        </is>
      </c>
    </row>
    <row r="49">
      <c r="A49" s="25" t="n">
        <v>49</v>
      </c>
      <c r="B49" s="25" t="inlineStr">
        <is>
          <t>COŞ_D195 MAKARNA MAŞASI TİTANİUM</t>
        </is>
      </c>
      <c r="C49" s="25" t="inlineStr">
        <is>
          <t>COŞ_D195</t>
        </is>
      </c>
      <c r="D49" s="27" t="inlineStr">
        <is>
          <t>8683613550425</t>
        </is>
      </c>
      <c r="E49" s="28" t="inlineStr">
        <is>
          <t>Düzeltilecek: AYNI ÜRÜN – FARKLI ÖNEK</t>
        </is>
      </c>
    </row>
    <row r="50">
      <c r="A50" s="25" t="n">
        <v>50</v>
      </c>
      <c r="B50" s="25" t="inlineStr">
        <is>
          <t>EFG-129  2,Lİ PASTA SET GOLD TÜY</t>
        </is>
      </c>
      <c r="C50" s="25" t="inlineStr">
        <is>
          <t>EFG_129</t>
        </is>
      </c>
      <c r="D50" s="27" t="inlineStr">
        <is>
          <t>8683613550395</t>
        </is>
      </c>
      <c r="E50" s="28" t="inlineStr">
        <is>
          <t>Düzeltilecek: AYNI ÜRÜN – FARKLI ÖNEK</t>
        </is>
      </c>
    </row>
    <row r="51">
      <c r="A51" s="25" t="n">
        <v>51</v>
      </c>
      <c r="B51" s="25" t="inlineStr">
        <is>
          <t>EFG-130  2,Lİ GÜMÜŞ TÜY PASTA SET</t>
        </is>
      </c>
      <c r="C51" s="25" t="inlineStr">
        <is>
          <t>EFG_130</t>
        </is>
      </c>
      <c r="D51" s="27" t="inlineStr">
        <is>
          <t>8683613550401</t>
        </is>
      </c>
      <c r="E51" s="28" t="inlineStr">
        <is>
          <t>Düzeltilecek: AYNI ÜRÜN – FARKLI ÖNEK</t>
        </is>
      </c>
    </row>
    <row r="52">
      <c r="A52" s="25" t="n">
        <v>52</v>
      </c>
      <c r="B52" s="25" t="inlineStr">
        <is>
          <t>EFG_197 5,Lİ GÜMÜŞ TÜY SOS SERVİS SET</t>
        </is>
      </c>
      <c r="C52" s="25" t="inlineStr">
        <is>
          <t>EFG_197</t>
        </is>
      </c>
      <c r="D52" s="27" t="inlineStr">
        <is>
          <t>8683613550906</t>
        </is>
      </c>
      <c r="E52" s="28" t="inlineStr">
        <is>
          <t>Düzeltilecek: AYNI ÜRÜN – FARKLI ÖNEK</t>
        </is>
      </c>
    </row>
    <row r="53">
      <c r="A53" s="25" t="n">
        <v>53</v>
      </c>
      <c r="B53" s="25" t="inlineStr">
        <is>
          <t>EFG_199 5,Lİ GOLD TÜY SOS SERVİS SET</t>
        </is>
      </c>
      <c r="C53" s="25" t="inlineStr">
        <is>
          <t>EFG_199</t>
        </is>
      </c>
      <c r="D53" s="27" t="inlineStr">
        <is>
          <t>8683613550920</t>
        </is>
      </c>
      <c r="E53" s="28" t="inlineStr">
        <is>
          <t>Düzeltilecek: AYNI ÜRÜN – FARKLI ÖNEK</t>
        </is>
      </c>
    </row>
    <row r="54">
      <c r="A54" s="25" t="n">
        <v>54</v>
      </c>
      <c r="B54" s="25" t="inlineStr">
        <is>
          <t>EFG_205  ZERAFET 5,Lİ GÜMÜŞ SUNUM SERVİS SET</t>
        </is>
      </c>
      <c r="C54" s="25" t="inlineStr">
        <is>
          <t>EFG_205</t>
        </is>
      </c>
      <c r="D54" s="27" t="inlineStr">
        <is>
          <t>8683613550982</t>
        </is>
      </c>
      <c r="E54" s="28" t="inlineStr">
        <is>
          <t>Düzeltilecek: AYNI ÜRÜN – FARKLI ÖNEK</t>
        </is>
      </c>
    </row>
    <row r="55">
      <c r="A55" s="25" t="n">
        <v>55</v>
      </c>
      <c r="B55" s="25" t="inlineStr">
        <is>
          <t>EFG_206  ZERAFET 5,Lİ GOLD SUNUM SERVİS SET</t>
        </is>
      </c>
      <c r="C55" s="25" t="inlineStr">
        <is>
          <t>EFG_206</t>
        </is>
      </c>
      <c r="D55" s="27" t="inlineStr">
        <is>
          <t>8683613550999</t>
        </is>
      </c>
      <c r="E55" s="28" t="inlineStr">
        <is>
          <t>Düzeltilecek: AYNI ÜRÜN – FARKLI ÖNEK</t>
        </is>
      </c>
    </row>
    <row r="56">
      <c r="A56" s="25" t="n">
        <v>56</v>
      </c>
      <c r="B56" s="25" t="inlineStr">
        <is>
          <t>EFG_209  5,Lİ ZERAFET ANTİK  GOLD SERVİS SET</t>
        </is>
      </c>
      <c r="C56" s="25" t="inlineStr">
        <is>
          <t>EFG_209</t>
        </is>
      </c>
      <c r="D56" s="27" t="inlineStr">
        <is>
          <t>8683613550029</t>
        </is>
      </c>
      <c r="E56" s="29" t="inlineStr">
        <is>
          <t>Düzeltilecek: ORTAK BARKOD</t>
        </is>
      </c>
    </row>
    <row r="57">
      <c r="A57" s="25" t="n">
        <v>57</v>
      </c>
      <c r="B57" s="25" t="inlineStr">
        <is>
          <t>DNC-078 1 DZ GÖKKUŞAK YEMEK KAŞIK</t>
        </is>
      </c>
      <c r="C57" s="25" t="inlineStr">
        <is>
          <t>DNC_078</t>
        </is>
      </c>
      <c r="D57" s="27" t="inlineStr">
        <is>
          <t>8683581657362</t>
        </is>
      </c>
      <c r="E57" s="25" t="inlineStr">
        <is>
          <t>Sorun yok</t>
        </is>
      </c>
    </row>
    <row r="58">
      <c r="A58" s="25" t="n">
        <v>58</v>
      </c>
      <c r="B58" s="25" t="inlineStr">
        <is>
          <t>DNC-079 1 DZ GÖKKUŞAK YEMEK ÇATAL</t>
        </is>
      </c>
      <c r="C58" s="25" t="inlineStr">
        <is>
          <t>DNC_079</t>
        </is>
      </c>
      <c r="D58" s="27" t="inlineStr">
        <is>
          <t>8683581657454</t>
        </is>
      </c>
      <c r="E58" s="25" t="inlineStr">
        <is>
          <t>Sorun yok</t>
        </is>
      </c>
    </row>
    <row r="59">
      <c r="A59" s="25" t="n">
        <v>59</v>
      </c>
      <c r="B59" s="25" t="inlineStr">
        <is>
          <t>DNC-080 1 DZ GÖKKUŞAK TATLI KAŞIK</t>
        </is>
      </c>
      <c r="C59" s="25" t="inlineStr">
        <is>
          <t>DNC_080</t>
        </is>
      </c>
      <c r="D59" s="27" t="inlineStr">
        <is>
          <t>8683581657386</t>
        </is>
      </c>
      <c r="E59" s="25" t="inlineStr">
        <is>
          <t>Sorun yok</t>
        </is>
      </c>
    </row>
    <row r="60">
      <c r="A60" s="25" t="n">
        <v>60</v>
      </c>
      <c r="B60" s="25" t="inlineStr">
        <is>
          <t>DNC-081 1 DZ GÖKKUŞAK TATLI ÇATAL</t>
        </is>
      </c>
      <c r="C60" s="25" t="inlineStr">
        <is>
          <t>DNC_081</t>
        </is>
      </c>
      <c r="D60" s="27" t="inlineStr">
        <is>
          <t>8683581657393</t>
        </is>
      </c>
      <c r="E60" s="25" t="inlineStr">
        <is>
          <t>Sorun yok</t>
        </is>
      </c>
    </row>
    <row r="61">
      <c r="A61" s="25" t="n">
        <v>61</v>
      </c>
      <c r="B61" s="25" t="inlineStr">
        <is>
          <t>DNC-082 1 DZ GÖKKUŞAK ÇAY KAŞIK</t>
        </is>
      </c>
      <c r="C61" s="25" t="inlineStr">
        <is>
          <t>DNC_082</t>
        </is>
      </c>
      <c r="D61" s="27" t="inlineStr">
        <is>
          <t>8683581657409</t>
        </is>
      </c>
      <c r="E61" s="25" t="inlineStr">
        <is>
          <t>Sorun yok</t>
        </is>
      </c>
    </row>
    <row r="62">
      <c r="A62" s="25" t="n">
        <v>62</v>
      </c>
      <c r="B62" s="25" t="inlineStr">
        <is>
          <t>DNC-083 1 DZ GÖKKUŞAK YEMEK BIÇAK</t>
        </is>
      </c>
      <c r="C62" s="25" t="inlineStr">
        <is>
          <t>DNC_083</t>
        </is>
      </c>
      <c r="D62" s="27" t="inlineStr">
        <is>
          <t>8683581657379</t>
        </is>
      </c>
      <c r="E62" s="25" t="inlineStr">
        <is>
          <t>Sorun yok</t>
        </is>
      </c>
    </row>
    <row r="63">
      <c r="A63" s="25" t="n">
        <v>63</v>
      </c>
      <c r="B63" s="25" t="inlineStr">
        <is>
          <t>DNC-084 30 PRÇ GÖKKUŞAK ÇKB SET</t>
        </is>
      </c>
      <c r="C63" s="25" t="inlineStr">
        <is>
          <t>DNC_084</t>
        </is>
      </c>
      <c r="D63" s="27" t="inlineStr">
        <is>
          <t>8683581657874</t>
        </is>
      </c>
      <c r="E63" s="25" t="inlineStr">
        <is>
          <t>Sorun yok</t>
        </is>
      </c>
    </row>
    <row r="64">
      <c r="A64" s="25" t="n">
        <v>64</v>
      </c>
      <c r="B64" s="25" t="inlineStr">
        <is>
          <t>DNC-085 36 PRÇ GÖKKUŞAK ÇKB SET</t>
        </is>
      </c>
      <c r="C64" s="25" t="inlineStr">
        <is>
          <t>DNC_085</t>
        </is>
      </c>
      <c r="D64" s="27" t="inlineStr">
        <is>
          <t>8683581657881</t>
        </is>
      </c>
      <c r="E64" s="25" t="inlineStr">
        <is>
          <t>Sorun yok</t>
        </is>
      </c>
    </row>
    <row r="65">
      <c r="A65" s="25" t="n">
        <v>65</v>
      </c>
      <c r="B65" s="25" t="inlineStr">
        <is>
          <t>DNC-086 60 PRÇ GÖKKUŞAK ÇKB SET</t>
        </is>
      </c>
      <c r="C65" s="25" t="inlineStr">
        <is>
          <t>DNC_086</t>
        </is>
      </c>
      <c r="D65" s="27" t="inlineStr">
        <is>
          <t>8683581657898</t>
        </is>
      </c>
      <c r="E65" s="25" t="inlineStr">
        <is>
          <t>Sorun yok</t>
        </is>
      </c>
    </row>
    <row r="66">
      <c r="A66" s="25" t="n">
        <v>66</v>
      </c>
      <c r="B66" s="25" t="inlineStr">
        <is>
          <t>DNC-087 72 PRÇ GÖKKUŞAK ÇKB SET</t>
        </is>
      </c>
      <c r="C66" s="25" t="inlineStr">
        <is>
          <t>DNC_087</t>
        </is>
      </c>
      <c r="D66" s="27" t="inlineStr">
        <is>
          <t>8683581657904</t>
        </is>
      </c>
      <c r="E66" s="25" t="inlineStr">
        <is>
          <t>Sorun yok</t>
        </is>
      </c>
    </row>
    <row r="67">
      <c r="A67" s="25" t="n">
        <v>67</v>
      </c>
      <c r="B67" s="25" t="inlineStr">
        <is>
          <t>DNC-111 6'LI GÖKKUŞAK YEMEK KAŞIK</t>
        </is>
      </c>
      <c r="C67" s="25" t="inlineStr">
        <is>
          <t>DNC_111</t>
        </is>
      </c>
      <c r="D67" s="27" t="inlineStr">
        <is>
          <t>8683613550227</t>
        </is>
      </c>
      <c r="E67" s="25" t="inlineStr">
        <is>
          <t>Sorun yok</t>
        </is>
      </c>
    </row>
    <row r="68">
      <c r="A68" s="25" t="n">
        <v>68</v>
      </c>
      <c r="B68" s="25" t="inlineStr">
        <is>
          <t>DNC-112 6'LI GÖKKUŞAK YEMEK ÇATAL</t>
        </is>
      </c>
      <c r="C68" s="25" t="inlineStr">
        <is>
          <t>DNC_112</t>
        </is>
      </c>
      <c r="D68" s="27" t="inlineStr">
        <is>
          <t>8683613550234</t>
        </is>
      </c>
      <c r="E68" s="25" t="inlineStr">
        <is>
          <t>Sorun yok</t>
        </is>
      </c>
    </row>
    <row r="69">
      <c r="A69" s="25" t="n">
        <v>69</v>
      </c>
      <c r="B69" s="25" t="inlineStr">
        <is>
          <t>DNC-113 6'LI GÖKKUŞAK TATLI KAŞIK</t>
        </is>
      </c>
      <c r="C69" s="25" t="inlineStr">
        <is>
          <t>DNC_113</t>
        </is>
      </c>
      <c r="D69" s="27" t="inlineStr">
        <is>
          <t>8683613550258</t>
        </is>
      </c>
      <c r="E69" s="25" t="inlineStr">
        <is>
          <t>Sorun yok</t>
        </is>
      </c>
    </row>
    <row r="70">
      <c r="A70" s="25" t="n">
        <v>70</v>
      </c>
      <c r="B70" s="25" t="inlineStr">
        <is>
          <t>DNC-114 6'LI GÖKKUŞAK TATLI ÇATAL</t>
        </is>
      </c>
      <c r="C70" s="25" t="inlineStr">
        <is>
          <t>DNC_114</t>
        </is>
      </c>
      <c r="D70" s="27" t="inlineStr">
        <is>
          <t>8683613550265</t>
        </is>
      </c>
      <c r="E70" s="25" t="inlineStr">
        <is>
          <t>Sorun yok</t>
        </is>
      </c>
    </row>
    <row r="71">
      <c r="A71" s="25" t="n">
        <v>71</v>
      </c>
      <c r="B71" s="25" t="inlineStr">
        <is>
          <t>DNC-115 6'LI GÖKKUŞAK ÇAY KAŞIK</t>
        </is>
      </c>
      <c r="C71" s="25" t="inlineStr">
        <is>
          <t>DNC_115</t>
        </is>
      </c>
      <c r="D71" s="27" t="inlineStr">
        <is>
          <t>8683613550272</t>
        </is>
      </c>
      <c r="E71" s="25" t="inlineStr">
        <is>
          <t>Sorun yok</t>
        </is>
      </c>
    </row>
    <row r="72">
      <c r="A72" s="25" t="n">
        <v>72</v>
      </c>
      <c r="B72" s="25" t="inlineStr">
        <is>
          <t>DNC-116 3'LÜ GÖKKUŞAK YEMEK BIÇAK</t>
        </is>
      </c>
      <c r="C72" s="25" t="inlineStr">
        <is>
          <t>DNC_116</t>
        </is>
      </c>
      <c r="D72" s="27" t="inlineStr">
        <is>
          <t>8683613550241</t>
        </is>
      </c>
      <c r="E72" s="25" t="inlineStr">
        <is>
          <t>Sorun yok</t>
        </is>
      </c>
    </row>
    <row r="73">
      <c r="A73" s="25" t="n">
        <v>73</v>
      </c>
      <c r="B73" s="25" t="inlineStr">
        <is>
          <t>DNC-052 1 DZ GÜMÜŞ TATLI KAŞIK</t>
        </is>
      </c>
      <c r="C73" s="25" t="inlineStr">
        <is>
          <t>DNC_052</t>
        </is>
      </c>
      <c r="D73" s="27" t="inlineStr">
        <is>
          <t>8683581657201</t>
        </is>
      </c>
      <c r="E73" s="25" t="inlineStr">
        <is>
          <t>Sorun yok</t>
        </is>
      </c>
    </row>
    <row r="74">
      <c r="A74" s="25" t="n">
        <v>74</v>
      </c>
      <c r="B74" s="25" t="inlineStr">
        <is>
          <t>DNC-050 1 DZ GÜMÜŞ YEMEK KAŞIK</t>
        </is>
      </c>
      <c r="C74" s="25" t="inlineStr">
        <is>
          <t>DNC_050</t>
        </is>
      </c>
      <c r="D74" s="27" t="inlineStr">
        <is>
          <t>8683581657171</t>
        </is>
      </c>
      <c r="E74" s="25" t="inlineStr">
        <is>
          <t>Sorun yok</t>
        </is>
      </c>
    </row>
    <row r="75">
      <c r="A75" s="25" t="n">
        <v>75</v>
      </c>
      <c r="B75" s="25" t="inlineStr">
        <is>
          <t>DNC-051 1 DZ GÜMÜŞ YEMEK ÇATAL</t>
        </is>
      </c>
      <c r="C75" s="25" t="inlineStr">
        <is>
          <t>DNC_051</t>
        </is>
      </c>
      <c r="D75" s="27" t="inlineStr">
        <is>
          <t>8683581657188</t>
        </is>
      </c>
      <c r="E75" s="25" t="inlineStr">
        <is>
          <t>Sorun yok</t>
        </is>
      </c>
    </row>
    <row r="76">
      <c r="A76" s="25" t="n">
        <v>76</v>
      </c>
      <c r="B76" s="25" t="inlineStr">
        <is>
          <t>DNC-053 1 DZ GÜMÜŞ TATLI ÇATAL</t>
        </is>
      </c>
      <c r="C76" s="25" t="inlineStr">
        <is>
          <t>DNC_053</t>
        </is>
      </c>
      <c r="D76" s="27" t="inlineStr">
        <is>
          <t>8683581657218</t>
        </is>
      </c>
      <c r="E76" s="25" t="inlineStr">
        <is>
          <t>Sorun yok</t>
        </is>
      </c>
    </row>
    <row r="77">
      <c r="A77" s="25" t="n">
        <v>77</v>
      </c>
      <c r="B77" s="25" t="inlineStr">
        <is>
          <t>DNC-054 1 DZ GÜMÜŞ ÇAY KAŞIK</t>
        </is>
      </c>
      <c r="C77" s="25" t="inlineStr">
        <is>
          <t>DNC_054</t>
        </is>
      </c>
      <c r="D77" s="27" t="inlineStr">
        <is>
          <t>8683581657225</t>
        </is>
      </c>
      <c r="E77" s="25" t="inlineStr">
        <is>
          <t>Sorun yok</t>
        </is>
      </c>
    </row>
    <row r="78">
      <c r="A78" s="25" t="n">
        <v>78</v>
      </c>
      <c r="B78" s="25" t="inlineStr">
        <is>
          <t>DNC-055 1 DZ GÜMÜŞ YEMEK BIÇAK</t>
        </is>
      </c>
      <c r="C78" s="25" t="inlineStr">
        <is>
          <t>DNC_055</t>
        </is>
      </c>
      <c r="D78" s="27" t="inlineStr">
        <is>
          <t>8683581657195</t>
        </is>
      </c>
      <c r="E78" s="25" t="inlineStr">
        <is>
          <t>Sorun yok</t>
        </is>
      </c>
    </row>
    <row r="79">
      <c r="A79" s="25" t="n">
        <v>79</v>
      </c>
      <c r="B79" s="25" t="inlineStr">
        <is>
          <t>DNC-056 1 DZ GÜMÜŞ PASTA BIÇAK</t>
        </is>
      </c>
      <c r="C79" s="25" t="inlineStr">
        <is>
          <t>DNC_056</t>
        </is>
      </c>
      <c r="D79" s="27" t="inlineStr">
        <is>
          <t>8683581657232</t>
        </is>
      </c>
      <c r="E79" s="25" t="inlineStr">
        <is>
          <t>Sorun yok</t>
        </is>
      </c>
    </row>
    <row r="80">
      <c r="A80" s="25" t="n">
        <v>80</v>
      </c>
      <c r="B80" s="25" t="inlineStr">
        <is>
          <t>DNC-057 1 AD.GÜMÜŞ SERVİS KEPÇE</t>
        </is>
      </c>
      <c r="C80" s="25" t="inlineStr">
        <is>
          <t>DNC_057</t>
        </is>
      </c>
      <c r="D80" s="27" t="inlineStr">
        <is>
          <t>8683581657249</t>
        </is>
      </c>
      <c r="E80" s="25" t="inlineStr">
        <is>
          <t>Sorun yok</t>
        </is>
      </c>
    </row>
    <row r="81">
      <c r="A81" s="25" t="n">
        <v>81</v>
      </c>
      <c r="B81" s="25" t="inlineStr">
        <is>
          <t>DNC-058 1 AD.GÜMÜŞ SERVİS KEVGİR</t>
        </is>
      </c>
      <c r="C81" s="25" t="inlineStr">
        <is>
          <t>DNC_058</t>
        </is>
      </c>
      <c r="D81" s="27" t="inlineStr">
        <is>
          <t>8683581657256</t>
        </is>
      </c>
      <c r="E81" s="25" t="inlineStr">
        <is>
          <t>Sorun yok</t>
        </is>
      </c>
    </row>
    <row r="82">
      <c r="A82" s="25" t="n">
        <v>82</v>
      </c>
      <c r="B82" s="25" t="inlineStr">
        <is>
          <t>DNC-059 1 AD. GÜMÜŞ SERVİS KAŞIK</t>
        </is>
      </c>
      <c r="C82" s="25" t="inlineStr">
        <is>
          <t>DNC_059</t>
        </is>
      </c>
      <c r="D82" s="27" t="inlineStr">
        <is>
          <t>8683581657263</t>
        </is>
      </c>
      <c r="E82" s="25" t="inlineStr">
        <is>
          <t>Sorun yok</t>
        </is>
      </c>
    </row>
    <row r="83">
      <c r="A83" s="25" t="n">
        <v>83</v>
      </c>
      <c r="B83" s="25" t="inlineStr">
        <is>
          <t>DNC-060 1 AD.GÜMÜŞ SERVİS SPATULA</t>
        </is>
      </c>
      <c r="C83" s="25" t="inlineStr">
        <is>
          <t>DNC_060</t>
        </is>
      </c>
      <c r="D83" s="27" t="inlineStr">
        <is>
          <t>8683581657270</t>
        </is>
      </c>
      <c r="E83" s="25" t="inlineStr">
        <is>
          <t>Sorun yok</t>
        </is>
      </c>
    </row>
    <row r="84">
      <c r="A84" s="25" t="n">
        <v>84</v>
      </c>
      <c r="B84" s="25" t="inlineStr">
        <is>
          <t>DNC-061 1 AD.GÜMÜŞ SERVİS ÇATAL</t>
        </is>
      </c>
      <c r="C84" s="25" t="inlineStr">
        <is>
          <t>DNC_061</t>
        </is>
      </c>
      <c r="D84" s="27" t="inlineStr">
        <is>
          <t>8683581657287</t>
        </is>
      </c>
      <c r="E84" s="25" t="inlineStr">
        <is>
          <t>Sorun yok</t>
        </is>
      </c>
    </row>
    <row r="85">
      <c r="A85" s="25" t="n">
        <v>85</v>
      </c>
      <c r="B85" s="25" t="inlineStr">
        <is>
          <t>DNC-062 GÜMÜŞ 5'Lİ SERVİS SET</t>
        </is>
      </c>
      <c r="C85" s="25" t="inlineStr">
        <is>
          <t>DNC_062</t>
        </is>
      </c>
      <c r="D85" s="27" t="inlineStr">
        <is>
          <t>8683581657829</t>
        </is>
      </c>
      <c r="E85" s="25" t="inlineStr">
        <is>
          <t>Sorun yok</t>
        </is>
      </c>
    </row>
    <row r="86">
      <c r="A86" s="25" t="n">
        <v>86</v>
      </c>
      <c r="B86" s="25" t="inlineStr">
        <is>
          <t>DNC-063 GÜMÜŞ 36 PRÇ ÇKB SET</t>
        </is>
      </c>
      <c r="C86" s="25" t="inlineStr">
        <is>
          <t>DNC_063</t>
        </is>
      </c>
      <c r="D86" s="27" t="inlineStr">
        <is>
          <t>8683581657720</t>
        </is>
      </c>
      <c r="E86" s="25" t="inlineStr">
        <is>
          <t>Sorun yok</t>
        </is>
      </c>
    </row>
    <row r="87">
      <c r="A87" s="25" t="n">
        <v>87</v>
      </c>
      <c r="B87" s="25" t="inlineStr">
        <is>
          <t>DNC-064 GÜMÜŞ 60 PRÇ ÇKB SET</t>
        </is>
      </c>
      <c r="C87" s="25" t="inlineStr">
        <is>
          <t>DNC_064</t>
        </is>
      </c>
      <c r="D87" s="27" t="inlineStr">
        <is>
          <t>8683581657737</t>
        </is>
      </c>
      <c r="E87" s="25" t="inlineStr">
        <is>
          <t>Sorun yok</t>
        </is>
      </c>
    </row>
    <row r="88">
      <c r="A88" s="25" t="n">
        <v>88</v>
      </c>
      <c r="B88" s="25" t="inlineStr">
        <is>
          <t>DNC-065 GÜMÜŞ 72 PRÇ ÇKB SET</t>
        </is>
      </c>
      <c r="C88" s="25" t="inlineStr">
        <is>
          <t>DNC_065</t>
        </is>
      </c>
      <c r="D88" s="27" t="inlineStr">
        <is>
          <t>8683581657744</t>
        </is>
      </c>
      <c r="E88" s="25" t="inlineStr">
        <is>
          <t>Sorun yok</t>
        </is>
      </c>
    </row>
    <row r="89">
      <c r="A89" s="25" t="n">
        <v>89</v>
      </c>
      <c r="B89" s="25" t="inlineStr">
        <is>
          <t>DNC-098 6'LI GÜMÜŞ YEMEK KAŞIK</t>
        </is>
      </c>
      <c r="C89" s="25" t="inlineStr">
        <is>
          <t>DNC_098</t>
        </is>
      </c>
      <c r="D89" s="27" t="inlineStr">
        <is>
          <t>8683613550098</t>
        </is>
      </c>
      <c r="E89" s="25" t="inlineStr">
        <is>
          <t>Sorun yok</t>
        </is>
      </c>
    </row>
    <row r="90">
      <c r="A90" s="25" t="n">
        <v>90</v>
      </c>
      <c r="B90" s="25" t="inlineStr">
        <is>
          <t>DNC-099 6'LI GÜMÜŞ YEMEK ÇATAL</t>
        </is>
      </c>
      <c r="C90" s="25" t="inlineStr">
        <is>
          <t>DNC_099</t>
        </is>
      </c>
      <c r="D90" s="27" t="inlineStr">
        <is>
          <t>8683613550104</t>
        </is>
      </c>
      <c r="E90" s="25" t="inlineStr">
        <is>
          <t>Sorun yok</t>
        </is>
      </c>
    </row>
    <row r="91">
      <c r="A91" s="25" t="n">
        <v>91</v>
      </c>
      <c r="B91" s="25" t="inlineStr">
        <is>
          <t>DNC-100 6'LI GÜMÜŞ TATLI KAŞIK</t>
        </is>
      </c>
      <c r="C91" s="25" t="inlineStr">
        <is>
          <t>DNC_100</t>
        </is>
      </c>
      <c r="D91" s="27" t="inlineStr">
        <is>
          <t>8683613550128</t>
        </is>
      </c>
      <c r="E91" s="25" t="inlineStr">
        <is>
          <t>Sorun yok</t>
        </is>
      </c>
    </row>
    <row r="92">
      <c r="A92" s="25" t="n">
        <v>92</v>
      </c>
      <c r="B92" s="25" t="inlineStr">
        <is>
          <t>DNC-101 6'LI GÜMÜŞ TATLI ÇATAL</t>
        </is>
      </c>
      <c r="C92" s="25" t="inlineStr">
        <is>
          <t>DNC_101</t>
        </is>
      </c>
      <c r="D92" s="27" t="inlineStr">
        <is>
          <t>8683613550135</t>
        </is>
      </c>
      <c r="E92" s="25" t="inlineStr">
        <is>
          <t>Sorun yok</t>
        </is>
      </c>
    </row>
    <row r="93">
      <c r="A93" s="25" t="n">
        <v>93</v>
      </c>
      <c r="B93" s="25" t="inlineStr">
        <is>
          <t>DNC-102 6'LI GÜMÜŞ ÇAY KAŞIK</t>
        </is>
      </c>
      <c r="C93" s="25" t="inlineStr">
        <is>
          <t>DNC_102</t>
        </is>
      </c>
      <c r="D93" s="27" t="inlineStr">
        <is>
          <t>8683613550159</t>
        </is>
      </c>
      <c r="E93" s="25" t="inlineStr">
        <is>
          <t>Sorun yok</t>
        </is>
      </c>
    </row>
    <row r="94">
      <c r="A94" s="25" t="n">
        <v>94</v>
      </c>
      <c r="B94" s="25" t="inlineStr">
        <is>
          <t>DNC-103 3'LÜ GÜMÜŞ PASTA BIÇAK</t>
        </is>
      </c>
      <c r="C94" s="25" t="inlineStr">
        <is>
          <t>DNC_103</t>
        </is>
      </c>
      <c r="D94" s="27" t="inlineStr">
        <is>
          <t>8683613550142</t>
        </is>
      </c>
      <c r="E94" s="25" t="inlineStr">
        <is>
          <t>Sorun yok</t>
        </is>
      </c>
    </row>
    <row r="95">
      <c r="A95" s="25" t="n">
        <v>95</v>
      </c>
      <c r="B95" s="25" t="inlineStr">
        <is>
          <t>DNC-104 3'LÜ GÜMÜŞ YEMEK BIÇAK</t>
        </is>
      </c>
      <c r="C95" s="25" t="inlineStr">
        <is>
          <t>DNC_104</t>
        </is>
      </c>
      <c r="D95" s="27" t="inlineStr">
        <is>
          <t>8683613550111</t>
        </is>
      </c>
      <c r="E95" s="25" t="inlineStr">
        <is>
          <t>Sorun yok</t>
        </is>
      </c>
    </row>
    <row r="96">
      <c r="A96" s="25" t="n">
        <v>96</v>
      </c>
      <c r="B96" s="25" t="inlineStr">
        <is>
          <t>DNC-123 30 PRÇ GÜMÜŞ ÇKB SET</t>
        </is>
      </c>
      <c r="C96" s="25" t="inlineStr">
        <is>
          <t>DNC_123</t>
        </is>
      </c>
      <c r="D96" s="27" t="inlineStr">
        <is>
          <t>8683581657713</t>
        </is>
      </c>
      <c r="E96" s="29" t="inlineStr">
        <is>
          <t>Düzeltilecek: KODA BİRDEN FAZLA BARKOD, ÖNCEKİ LİSTEYLE ÇELİŞKİ</t>
        </is>
      </c>
    </row>
    <row r="97">
      <c r="A97" s="25" t="n">
        <v>97</v>
      </c>
      <c r="B97" s="25" t="inlineStr">
        <is>
          <t>GÜMÜŞ 84 PRÇ ÇKB SET</t>
        </is>
      </c>
      <c r="C97" s="25" t="inlineStr">
        <is>
          <t>(boş)</t>
        </is>
      </c>
      <c r="D97" s="27" t="inlineStr">
        <is>
          <t>8683581657751</t>
        </is>
      </c>
      <c r="E97" s="31" t="inlineStr">
        <is>
          <t>Düzeltilecek: ÜRÜN KODU YOK</t>
        </is>
      </c>
    </row>
    <row r="98">
      <c r="A98" s="25" t="n">
        <v>98</v>
      </c>
      <c r="B98" s="25" t="inlineStr">
        <is>
          <t>GÜMÜŞ 89 PRÇ ÇKB SET</t>
        </is>
      </c>
      <c r="C98" s="25" t="inlineStr">
        <is>
          <t>(boş)</t>
        </is>
      </c>
      <c r="D98" s="27" t="inlineStr">
        <is>
          <t>8683581657768</t>
        </is>
      </c>
      <c r="E98" s="31" t="inlineStr">
        <is>
          <t>Düzeltilecek: ÜRÜN KODU YOK</t>
        </is>
      </c>
    </row>
    <row r="99">
      <c r="A99" s="25" t="n">
        <v>99</v>
      </c>
      <c r="B99" s="25" t="inlineStr">
        <is>
          <t>LÜX MAKARNA MAŞASI KOD 805</t>
        </is>
      </c>
      <c r="C99" s="25" t="inlineStr">
        <is>
          <t>805</t>
        </is>
      </c>
      <c r="D99" s="27" t="inlineStr">
        <is>
          <t>8681198062265</t>
        </is>
      </c>
      <c r="E99" s="31" t="inlineStr">
        <is>
          <t>Düzeltilecek: KOD STANDART DIŞI, FARKLI FİRMA ÖNEKİ</t>
        </is>
      </c>
    </row>
    <row r="100">
      <c r="A100" s="25" t="n">
        <v>100</v>
      </c>
      <c r="B100" s="25" t="inlineStr">
        <is>
          <t>LÜX PASTA MAŞASI KOD 806</t>
        </is>
      </c>
      <c r="C100" s="25" t="inlineStr">
        <is>
          <t>806</t>
        </is>
      </c>
      <c r="D100" s="27" t="inlineStr">
        <is>
          <t>8681198062272</t>
        </is>
      </c>
      <c r="E100" s="31" t="inlineStr">
        <is>
          <t>Düzeltilecek: KOD STANDART DIŞI, FARKLI FİRMA ÖNEKİ</t>
        </is>
      </c>
    </row>
    <row r="101">
      <c r="A101" s="25" t="n">
        <v>101</v>
      </c>
      <c r="B101" s="25" t="inlineStr">
        <is>
          <t>LÜX SALATA MAŞASI KOD 807</t>
        </is>
      </c>
      <c r="C101" s="25" t="inlineStr">
        <is>
          <t>807</t>
        </is>
      </c>
      <c r="D101" s="27" t="inlineStr">
        <is>
          <t>8681198062289</t>
        </is>
      </c>
      <c r="E101" s="31" t="inlineStr">
        <is>
          <t>Düzeltilecek: KOD STANDART DIŞI, FARKLI FİRMA ÖNEKİ</t>
        </is>
      </c>
    </row>
    <row r="102">
      <c r="A102" s="25" t="n">
        <v>102</v>
      </c>
      <c r="B102" s="25" t="inlineStr">
        <is>
          <t>ÇUBUK ÇAY KAŞIK 6 AD KOD :419</t>
        </is>
      </c>
      <c r="C102" s="25" t="inlineStr">
        <is>
          <t>419</t>
        </is>
      </c>
      <c r="D102" s="27" t="inlineStr">
        <is>
          <t>8681198062098</t>
        </is>
      </c>
      <c r="E102" s="31" t="inlineStr">
        <is>
          <t>Düzeltilecek: KOD STANDART DIŞI, FARKLI FİRMA ÖNEKİ</t>
        </is>
      </c>
    </row>
    <row r="103">
      <c r="A103" s="25" t="n">
        <v>103</v>
      </c>
      <c r="B103" s="25" t="inlineStr">
        <is>
          <t>SARAY SOS KEPÇE</t>
        </is>
      </c>
      <c r="C103" s="25" t="inlineStr">
        <is>
          <t>(boş)</t>
        </is>
      </c>
      <c r="D103" s="27" t="inlineStr">
        <is>
          <t>8699182306042</t>
        </is>
      </c>
      <c r="E103" s="31" t="inlineStr">
        <is>
          <t>Düzeltilecek: ÜRÜN KODU YOK, FARKLI FİRMA ÖNEKİ</t>
        </is>
      </c>
    </row>
    <row r="104">
      <c r="A104" s="25" t="n">
        <v>104</v>
      </c>
      <c r="B104" s="25" t="inlineStr">
        <is>
          <t>LRS 002</t>
        </is>
      </c>
      <c r="C104" s="25" t="inlineStr">
        <is>
          <t>LRS_002</t>
        </is>
      </c>
      <c r="D104" s="27" t="inlineStr">
        <is>
          <t>4386543445025</t>
        </is>
      </c>
      <c r="E104" s="30" t="inlineStr">
        <is>
          <t>Düzeltilecek: GEÇERSİZ BARKOD, FARKLI FİRMA ÖNEKİ</t>
        </is>
      </c>
    </row>
    <row r="105">
      <c r="A105" s="25" t="n">
        <v>105</v>
      </c>
      <c r="B105" s="25" t="inlineStr">
        <is>
          <t>DNC-023 1 AD TİTANİUM İSTİRİDYE ŞEKER MAŞASI</t>
        </is>
      </c>
      <c r="C105" s="25" t="inlineStr">
        <is>
          <t>DNC_023</t>
        </is>
      </c>
      <c r="D105" s="27" t="inlineStr">
        <is>
          <t>8683581657928</t>
        </is>
      </c>
      <c r="E105" s="28" t="inlineStr">
        <is>
          <t>Düzeltilecek: AYNI ÜRÜN – FARKLI ÖNEK</t>
        </is>
      </c>
    </row>
    <row r="106">
      <c r="A106" s="25" t="n">
        <v>106</v>
      </c>
      <c r="B106" s="25" t="inlineStr">
        <is>
          <t>DNC-034 3LÜ GOLD TOMURCUK MAŞA SET</t>
        </is>
      </c>
      <c r="C106" s="25" t="inlineStr">
        <is>
          <t>DNC_034</t>
        </is>
      </c>
      <c r="D106" s="27" t="inlineStr">
        <is>
          <t>8683581657966</t>
        </is>
      </c>
      <c r="E106" s="25" t="inlineStr">
        <is>
          <t>Sorun yok</t>
        </is>
      </c>
    </row>
    <row r="107">
      <c r="A107" s="25" t="n">
        <v>107</v>
      </c>
      <c r="B107" s="25" t="inlineStr">
        <is>
          <t>DNC-036 MAKARNA MAŞASI</t>
        </is>
      </c>
      <c r="C107" s="25" t="inlineStr">
        <is>
          <t>DNC_036</t>
        </is>
      </c>
      <c r="D107" s="27" t="inlineStr">
        <is>
          <t>8683613550722</t>
        </is>
      </c>
      <c r="E107" s="29" t="inlineStr">
        <is>
          <t>Düzeltilecek: ORTAK BARKOD</t>
        </is>
      </c>
    </row>
    <row r="108">
      <c r="A108" s="25" t="n">
        <v>108</v>
      </c>
      <c r="B108" s="25" t="inlineStr">
        <is>
          <t>DNC-037 SALATA MAŞASI</t>
        </is>
      </c>
      <c r="C108" s="25" t="inlineStr">
        <is>
          <t>DNC_037</t>
        </is>
      </c>
      <c r="D108" s="27" t="inlineStr">
        <is>
          <t>8683613550708</t>
        </is>
      </c>
      <c r="E108" s="29" t="inlineStr">
        <is>
          <t>Düzeltilecek: ORTAK BARKOD</t>
        </is>
      </c>
    </row>
    <row r="109">
      <c r="A109" s="25" t="n">
        <v>109</v>
      </c>
      <c r="B109" s="25" t="inlineStr">
        <is>
          <t>DNC-039 3'LÜ GÜMÜŞ TOMURCUK MAŞA SET</t>
        </is>
      </c>
      <c r="C109" s="25" t="inlineStr">
        <is>
          <t>DNC_039</t>
        </is>
      </c>
      <c r="D109" s="27" t="inlineStr">
        <is>
          <t>8683581657416</t>
        </is>
      </c>
      <c r="E109" s="25" t="inlineStr">
        <is>
          <t>Sorun yok</t>
        </is>
      </c>
    </row>
    <row r="110">
      <c r="A110" s="25" t="n">
        <v>110</v>
      </c>
      <c r="B110" s="25" t="inlineStr">
        <is>
          <t>DNC-040 3,LÜ MAŞA SET TİTANİUM</t>
        </is>
      </c>
      <c r="C110" s="25" t="inlineStr">
        <is>
          <t>DNC_040</t>
        </is>
      </c>
      <c r="D110" s="27" t="inlineStr">
        <is>
          <t>8683581657423</t>
        </is>
      </c>
      <c r="E110" s="25" t="inlineStr">
        <is>
          <t>Sorun yok</t>
        </is>
      </c>
    </row>
    <row r="111">
      <c r="A111" s="25" t="n">
        <v>111</v>
      </c>
      <c r="B111" s="25" t="inlineStr">
        <is>
          <t>DNC-041 MAŞA SET GOLD SİYAH</t>
        </is>
      </c>
      <c r="C111" s="25" t="inlineStr">
        <is>
          <t>DNC_041</t>
        </is>
      </c>
      <c r="D111" s="27" t="inlineStr">
        <is>
          <t>8683581657430</t>
        </is>
      </c>
      <c r="E111" s="25" t="inlineStr">
        <is>
          <t>Sorun yok</t>
        </is>
      </c>
    </row>
    <row r="112">
      <c r="A112" s="25" t="n">
        <v>112</v>
      </c>
      <c r="B112" s="25" t="inlineStr">
        <is>
          <t>DNC-042 MAŞA SET GOLD BEYAZ</t>
        </is>
      </c>
      <c r="C112" s="25" t="inlineStr">
        <is>
          <t>DNC_042</t>
        </is>
      </c>
      <c r="D112" s="27" t="inlineStr">
        <is>
          <t>8683613550784</t>
        </is>
      </c>
      <c r="E112" s="29" t="inlineStr">
        <is>
          <t>Düzeltilecek: ORTAK BARKOD</t>
        </is>
      </c>
    </row>
    <row r="113">
      <c r="A113" s="25" t="n">
        <v>113</v>
      </c>
      <c r="B113" s="25" t="inlineStr">
        <is>
          <t>DNC-043 İSTİRİDYE KAŞIK SET SADE</t>
        </is>
      </c>
      <c r="C113" s="25" t="inlineStr">
        <is>
          <t>DNC_043</t>
        </is>
      </c>
      <c r="D113" s="27" t="inlineStr">
        <is>
          <t>8683581657584</t>
        </is>
      </c>
      <c r="E113" s="25" t="inlineStr">
        <is>
          <t>Sorun yok</t>
        </is>
      </c>
    </row>
    <row r="114">
      <c r="A114" s="25" t="n">
        <v>114</v>
      </c>
      <c r="B114" s="25" t="inlineStr">
        <is>
          <t>DNC-044 6'LI MİDYE KAŞIK TİTANİUM SET</t>
        </is>
      </c>
      <c r="C114" s="25" t="inlineStr">
        <is>
          <t>DNC_044</t>
        </is>
      </c>
      <c r="D114" s="27" t="inlineStr">
        <is>
          <t>8683581657591</t>
        </is>
      </c>
      <c r="E114" s="25" t="inlineStr">
        <is>
          <t>Sorun yok</t>
        </is>
      </c>
    </row>
    <row r="115">
      <c r="A115" s="25" t="n">
        <v>115</v>
      </c>
      <c r="B115" s="25" t="inlineStr">
        <is>
          <t>DNC-045 MİDYE KAŞIK MAT TİTANİUM SET</t>
        </is>
      </c>
      <c r="C115" s="25" t="inlineStr">
        <is>
          <t>DNC_045</t>
        </is>
      </c>
      <c r="D115" s="27" t="inlineStr">
        <is>
          <t>8683613550487</t>
        </is>
      </c>
      <c r="E115" s="25" t="inlineStr">
        <is>
          <t>Sorun yok</t>
        </is>
      </c>
    </row>
    <row r="116">
      <c r="A116" s="25" t="n">
        <v>116</v>
      </c>
      <c r="B116" s="25" t="inlineStr">
        <is>
          <t>DNC-047 6'LI MİDYE KAŞIK GOLD BEYAZ SET</t>
        </is>
      </c>
      <c r="C116" s="25" t="inlineStr">
        <is>
          <t>DNC_047</t>
        </is>
      </c>
      <c r="D116" s="27" t="inlineStr">
        <is>
          <t>8683581657614</t>
        </is>
      </c>
      <c r="E116" s="25" t="inlineStr">
        <is>
          <t>Sorun yok</t>
        </is>
      </c>
    </row>
    <row r="117">
      <c r="A117" s="25" t="n">
        <v>117</v>
      </c>
      <c r="B117" s="25" t="inlineStr">
        <is>
          <t>DNC-048 6'LI İSTİRİDYE ÇAY  KAŞIK SADE</t>
        </is>
      </c>
      <c r="C117" s="25" t="inlineStr">
        <is>
          <t>DNC_048</t>
        </is>
      </c>
      <c r="D117" s="27" t="inlineStr">
        <is>
          <t>8683581657973</t>
        </is>
      </c>
      <c r="E117" s="28" t="inlineStr">
        <is>
          <t>Düzeltilecek: AYNI ÜRÜN – FARKLI ÖNEK</t>
        </is>
      </c>
    </row>
    <row r="118">
      <c r="A118" s="25" t="n">
        <v>118</v>
      </c>
      <c r="B118" s="25" t="inlineStr">
        <is>
          <t>DNC-120 GOLD KELEBEK MAŞA SET</t>
        </is>
      </c>
      <c r="C118" s="25" t="inlineStr">
        <is>
          <t>DNC_120</t>
        </is>
      </c>
      <c r="D118" s="27" t="inlineStr">
        <is>
          <t>8683581657690</t>
        </is>
      </c>
      <c r="E118" s="28" t="inlineStr">
        <is>
          <t>Düzeltilecek: AYNI ÜRÜN – FARKLI ÖNEK</t>
        </is>
      </c>
    </row>
    <row r="119">
      <c r="A119" s="25" t="n">
        <v>119</v>
      </c>
      <c r="B119" s="25" t="inlineStr">
        <is>
          <t>DNC-121 BUZ MAŞASI 1 ADET</t>
        </is>
      </c>
      <c r="C119" s="25" t="inlineStr">
        <is>
          <t>DNC_121</t>
        </is>
      </c>
      <c r="D119" s="27" t="inlineStr">
        <is>
          <t>8683581657706</t>
        </is>
      </c>
      <c r="E119" s="25" t="inlineStr">
        <is>
          <t>Sorun yok</t>
        </is>
      </c>
    </row>
    <row r="120">
      <c r="A120" s="25" t="n">
        <v>120</v>
      </c>
      <c r="B120" s="25" t="inlineStr">
        <is>
          <t>DNC-123 GÜMÜŞ KELEBEK MAŞA SET</t>
        </is>
      </c>
      <c r="C120" s="25" t="inlineStr">
        <is>
          <t>DNC_123</t>
        </is>
      </c>
      <c r="D120" s="27" t="inlineStr">
        <is>
          <t>8683613550623</t>
        </is>
      </c>
      <c r="E120" s="29" t="inlineStr">
        <is>
          <t>Düzeltilecek: KODA BİRDEN FAZLA BARKOD, AYNI ÜRÜN – FARKLI ÖNEK</t>
        </is>
      </c>
    </row>
    <row r="121">
      <c r="A121" s="25" t="n">
        <v>121</v>
      </c>
      <c r="B121" s="25" t="inlineStr">
        <is>
          <t>DNC_126 GOLD BEYAZ KELEBEKLİ  MAŞA SET</t>
        </is>
      </c>
      <c r="C121" s="25" t="inlineStr">
        <is>
          <t>DNC_126</t>
        </is>
      </c>
      <c r="D121" s="27" t="inlineStr">
        <is>
          <t>8683613550364</t>
        </is>
      </c>
      <c r="E121" s="29" t="inlineStr">
        <is>
          <t>Düzeltilecek: ORTAK BARKOD</t>
        </is>
      </c>
    </row>
    <row r="122">
      <c r="A122" s="25" t="n">
        <v>122</v>
      </c>
      <c r="B122" s="25" t="inlineStr">
        <is>
          <t>DNC_127 BEYAZ MİNELİ GOLD JAPON ÇİÇEĞİ MAŞA SET</t>
        </is>
      </c>
      <c r="C122" s="25" t="inlineStr">
        <is>
          <t>DNC_127</t>
        </is>
      </c>
      <c r="D122" s="27" t="inlineStr">
        <is>
          <t>8683613550371</t>
        </is>
      </c>
      <c r="E122" s="29" t="inlineStr">
        <is>
          <t>Düzeltilecek: ORTAK BARKOD</t>
        </is>
      </c>
    </row>
    <row r="123">
      <c r="A123" s="25" t="n">
        <v>123</v>
      </c>
      <c r="B123" s="25" t="inlineStr">
        <is>
          <t>DNC-133 3'LÜ  GÜMÜŞ MAŞA BEYAZ  KELEBEK DEKORLU</t>
        </is>
      </c>
      <c r="C123" s="25" t="inlineStr">
        <is>
          <t>DNC_133</t>
        </is>
      </c>
      <c r="D123" s="27" t="inlineStr">
        <is>
          <t>8683613550432</t>
        </is>
      </c>
      <c r="E123" s="28" t="inlineStr">
        <is>
          <t>Düzeltilecek: AYNI ÜRÜN – FARKLI ÖNEK</t>
        </is>
      </c>
    </row>
    <row r="124">
      <c r="A124" s="25" t="n">
        <v>124</v>
      </c>
      <c r="B124" s="25" t="inlineStr">
        <is>
          <t>DNC-134 3'LÜ MAŞA GÜMÜŞ SET KİRAZ DEKORLU</t>
        </is>
      </c>
      <c r="C124" s="25" t="inlineStr">
        <is>
          <t>DNC_134</t>
        </is>
      </c>
      <c r="D124" s="27" t="inlineStr">
        <is>
          <t>8683613550449</t>
        </is>
      </c>
      <c r="E124" s="25" t="inlineStr">
        <is>
          <t>Sorun yok</t>
        </is>
      </c>
    </row>
    <row r="125">
      <c r="A125" s="25" t="n">
        <v>125</v>
      </c>
      <c r="B125" s="25" t="inlineStr">
        <is>
          <t>DNC-135 MİDYE KAŞIK SET SADE SİYAH</t>
        </is>
      </c>
      <c r="C125" s="25" t="inlineStr">
        <is>
          <t>DNC_135</t>
        </is>
      </c>
      <c r="D125" s="27" t="inlineStr">
        <is>
          <t>8683613550456</t>
        </is>
      </c>
      <c r="E125" s="25" t="inlineStr">
        <is>
          <t>Sorun yok</t>
        </is>
      </c>
    </row>
    <row r="126">
      <c r="A126" s="25" t="n">
        <v>126</v>
      </c>
      <c r="B126" s="25" t="inlineStr">
        <is>
          <t>DNC-136 MİDYE KAŞIK SET SADE BEYAZ</t>
        </is>
      </c>
      <c r="C126" s="25" t="inlineStr">
        <is>
          <t>DNC_136</t>
        </is>
      </c>
      <c r="D126" s="27" t="inlineStr">
        <is>
          <t>8683613550463</t>
        </is>
      </c>
      <c r="E126" s="25" t="inlineStr">
        <is>
          <t>Sorun yok</t>
        </is>
      </c>
    </row>
    <row r="127">
      <c r="A127" s="25" t="n">
        <v>127</v>
      </c>
      <c r="B127" s="25" t="inlineStr">
        <is>
          <t>DNC_139 3,LÜ MAŞA SET SADE</t>
        </is>
      </c>
      <c r="C127" s="25" t="inlineStr">
        <is>
          <t>DNC_139</t>
        </is>
      </c>
      <c r="D127" s="27" t="inlineStr">
        <is>
          <t>8683613550500</t>
        </is>
      </c>
      <c r="E127" s="25" t="inlineStr">
        <is>
          <t>Sorun yok</t>
        </is>
      </c>
    </row>
    <row r="128">
      <c r="A128" s="25" t="n">
        <v>128</v>
      </c>
      <c r="B128" s="25" t="inlineStr">
        <is>
          <t>DNC-140 3,LÜ MAŞA SET MAT TİTANİUM</t>
        </is>
      </c>
      <c r="C128" s="25" t="inlineStr">
        <is>
          <t>DNC_140</t>
        </is>
      </c>
      <c r="D128" s="27" t="inlineStr">
        <is>
          <t>8683613550517</t>
        </is>
      </c>
      <c r="E128" s="25" t="inlineStr">
        <is>
          <t>Sorun yok</t>
        </is>
      </c>
    </row>
    <row r="129">
      <c r="A129" s="25" t="n">
        <v>129</v>
      </c>
      <c r="B129" s="25" t="inlineStr">
        <is>
          <t>DNC-150  ŞEKER  MAŞASI 1 ADET</t>
        </is>
      </c>
      <c r="C129" s="25" t="inlineStr">
        <is>
          <t>DNC_150</t>
        </is>
      </c>
      <c r="D129" s="27" t="inlineStr">
        <is>
          <t>8683613550739</t>
        </is>
      </c>
      <c r="E129" s="29" t="inlineStr">
        <is>
          <t>Düzeltilecek: ORTAK BARKOD</t>
        </is>
      </c>
    </row>
    <row r="130">
      <c r="A130" s="25" t="n">
        <v>130</v>
      </c>
      <c r="B130" s="25" t="inlineStr">
        <is>
          <t>DNC-038 PASTA MAŞASI</t>
        </is>
      </c>
      <c r="C130" s="25" t="inlineStr">
        <is>
          <t>DNC_038</t>
        </is>
      </c>
      <c r="D130" s="27" t="inlineStr">
        <is>
          <t>8683613550715</t>
        </is>
      </c>
      <c r="E130" s="29" t="inlineStr">
        <is>
          <t>Düzeltilecek: ORTAK BARKOD</t>
        </is>
      </c>
    </row>
    <row r="131">
      <c r="A131" s="25" t="n">
        <v>131</v>
      </c>
      <c r="B131" s="25" t="inlineStr">
        <is>
          <t>DNC_119 6'LI MİDYE KAŞIK GOLD SİYAH SET</t>
        </is>
      </c>
      <c r="C131" s="25" t="inlineStr">
        <is>
          <t>DNC_119</t>
        </is>
      </c>
      <c r="D131" s="27" t="inlineStr">
        <is>
          <t>8683581657607</t>
        </is>
      </c>
      <c r="E131" s="29" t="inlineStr">
        <is>
          <t>Düzeltilecek: KODA BİRDEN FAZLA BARKOD</t>
        </is>
      </c>
    </row>
    <row r="132">
      <c r="A132" s="25" t="n">
        <v>132</v>
      </c>
      <c r="B132" s="25" t="inlineStr">
        <is>
          <t>DNC_049 GOLD 3,LÜ MAŞA SET ALTIN MAŞA SET</t>
        </is>
      </c>
      <c r="C132" s="25" t="inlineStr">
        <is>
          <t>DNC_049</t>
        </is>
      </c>
      <c r="D132" s="27" t="inlineStr">
        <is>
          <t>8683613550494</t>
        </is>
      </c>
      <c r="E132" s="25" t="inlineStr">
        <is>
          <t>Sorun yok</t>
        </is>
      </c>
    </row>
    <row r="133">
      <c r="A133" s="25" t="n">
        <v>133</v>
      </c>
      <c r="B133" s="25" t="inlineStr">
        <is>
          <t>DNC_122 6'LI MİDYE GOLD (ALTIN)</t>
        </is>
      </c>
      <c r="C133" s="25" t="inlineStr">
        <is>
          <t>DNC_122</t>
        </is>
      </c>
      <c r="D133" s="27" t="inlineStr">
        <is>
          <t>8683581657980</t>
        </is>
      </c>
      <c r="E133" s="29" t="inlineStr">
        <is>
          <t>Düzeltilecek: ORTAK BARKOD</t>
        </is>
      </c>
    </row>
    <row r="134">
      <c r="A134" s="25" t="n">
        <v>134</v>
      </c>
      <c r="B134" s="25" t="inlineStr">
        <is>
          <t>DNC-131 3,LÜ MAT TİTANİUM MAŞA  SET</t>
        </is>
      </c>
      <c r="C134" s="25" t="inlineStr">
        <is>
          <t>DNC_131</t>
        </is>
      </c>
      <c r="D134" s="27" t="inlineStr">
        <is>
          <t>8683613550418</t>
        </is>
      </c>
      <c r="E134" s="25" t="inlineStr">
        <is>
          <t>Sorun yok</t>
        </is>
      </c>
    </row>
    <row r="135">
      <c r="A135" s="25" t="n">
        <v>135</v>
      </c>
      <c r="B135" s="25" t="inlineStr">
        <is>
          <t>DNC_138 İSTİRİDYE SİYAH TİTANİUM 6,LI</t>
        </is>
      </c>
      <c r="C135" s="25" t="inlineStr">
        <is>
          <t>DNC_138</t>
        </is>
      </c>
      <c r="D135" s="27" t="inlineStr">
        <is>
          <t>8683613550333</t>
        </is>
      </c>
      <c r="E135" s="25" t="inlineStr">
        <is>
          <t>Sorun yok</t>
        </is>
      </c>
    </row>
    <row r="136">
      <c r="A136" s="25" t="n">
        <v>136</v>
      </c>
      <c r="B136" s="25" t="inlineStr">
        <is>
          <t>DNC_180 İSTİRİDYE GOLD ÇAY KAŞIK 6,LI</t>
        </is>
      </c>
      <c r="C136" s="25" t="inlineStr">
        <is>
          <t>DNC_180</t>
        </is>
      </c>
      <c r="D136" s="27" t="inlineStr">
        <is>
          <t>8683613550760</t>
        </is>
      </c>
      <c r="E136" s="29" t="inlineStr">
        <is>
          <t>Düzeltilecek: ORTAK BARKOD</t>
        </is>
      </c>
    </row>
    <row r="137">
      <c r="A137" s="25" t="n">
        <v>137</v>
      </c>
      <c r="B137" s="25" t="inlineStr">
        <is>
          <t>DNC_181 ORKİDE ÇAY KAŞIK 6,LI SADE</t>
        </is>
      </c>
      <c r="C137" s="25" t="inlineStr">
        <is>
          <t>DNC_181</t>
        </is>
      </c>
      <c r="D137" s="27" t="inlineStr">
        <is>
          <t>8683613550036</t>
        </is>
      </c>
      <c r="E137" s="29" t="inlineStr">
        <is>
          <t>Düzeltilecek: ORTAK BARKOD, KODA BİRDEN FAZLA BARKOD</t>
        </is>
      </c>
    </row>
    <row r="138">
      <c r="A138" s="25" t="n">
        <v>138</v>
      </c>
      <c r="B138" s="25" t="inlineStr">
        <is>
          <t>DNC_193 SALATA MAŞASI TİTANİUM</t>
        </is>
      </c>
      <c r="C138" s="25" t="inlineStr">
        <is>
          <t>DNC_193</t>
        </is>
      </c>
      <c r="D138" s="27" t="inlineStr">
        <is>
          <t>8683613550289</t>
        </is>
      </c>
      <c r="E138" s="28" t="inlineStr">
        <is>
          <t>Düzeltilecek: AYNI ÜRÜN – FARKLI ÖNEK</t>
        </is>
      </c>
    </row>
    <row r="139">
      <c r="A139" s="25" t="n">
        <v>139</v>
      </c>
      <c r="B139" s="25" t="inlineStr">
        <is>
          <t>DNC_194 PASTA MAŞASI TİTANİUM</t>
        </is>
      </c>
      <c r="C139" s="25" t="inlineStr">
        <is>
          <t>DNC_194</t>
        </is>
      </c>
      <c r="D139" s="27" t="inlineStr">
        <is>
          <t>8683613550654</t>
        </is>
      </c>
      <c r="E139" s="28" t="inlineStr">
        <is>
          <t>Düzeltilecek: AYNI ÜRÜN – FARKLI ÖNEK</t>
        </is>
      </c>
    </row>
    <row r="140">
      <c r="A140" s="25" t="n">
        <v>140</v>
      </c>
      <c r="B140" s="25" t="inlineStr">
        <is>
          <t>DNC_195 MAKARNA MAŞASI TİTANİUM</t>
        </is>
      </c>
      <c r="C140" s="25" t="inlineStr">
        <is>
          <t>DNC_195</t>
        </is>
      </c>
      <c r="D140" s="27" t="inlineStr">
        <is>
          <t>8683613550425</t>
        </is>
      </c>
      <c r="E140" s="28" t="inlineStr">
        <is>
          <t>Düzeltilecek: AYNI ÜRÜN – FARKLI ÖNEK</t>
        </is>
      </c>
    </row>
    <row r="141">
      <c r="A141" s="25" t="n">
        <v>141</v>
      </c>
      <c r="B141" s="25" t="inlineStr">
        <is>
          <t>DNC-117 6'LI  LÜX ÇAY KAŞIK</t>
        </is>
      </c>
      <c r="C141" s="25" t="inlineStr">
        <is>
          <t>DNC_117</t>
        </is>
      </c>
      <c r="D141" s="27" t="inlineStr">
        <is>
          <t>8683581657942</t>
        </is>
      </c>
      <c r="E141" s="29" t="inlineStr">
        <is>
          <t>Düzeltilecek: ORTAK BARKOD</t>
        </is>
      </c>
    </row>
    <row r="142">
      <c r="A142" s="25" t="n">
        <v>142</v>
      </c>
      <c r="B142" s="25" t="inlineStr">
        <is>
          <t>DNC-118 6'LI ÇUBUK ÇAY KAŞIK</t>
        </is>
      </c>
      <c r="C142" s="25" t="inlineStr">
        <is>
          <t>DNC_118</t>
        </is>
      </c>
      <c r="D142" s="27" t="inlineStr">
        <is>
          <t>8683581657911</t>
        </is>
      </c>
      <c r="E142" s="25" t="inlineStr">
        <is>
          <t>Sorun yok</t>
        </is>
      </c>
    </row>
    <row r="143">
      <c r="A143" s="25" t="n">
        <v>143</v>
      </c>
      <c r="B143" s="25" t="inlineStr">
        <is>
          <t>DNC-119 1 DZ ZEYN LÜX ÇAY KAŞIK</t>
        </is>
      </c>
      <c r="C143" s="25" t="inlineStr">
        <is>
          <t>DNC_119</t>
        </is>
      </c>
      <c r="D143" s="27" t="inlineStr">
        <is>
          <t>8683581657980</t>
        </is>
      </c>
      <c r="E143" s="29" t="inlineStr">
        <is>
          <t>Düzeltilecek: ORTAK BARKOD, KODA BİRDEN FAZLA BARKOD</t>
        </is>
      </c>
    </row>
    <row r="144">
      <c r="A144" s="25" t="n">
        <v>144</v>
      </c>
      <c r="B144" s="25" t="inlineStr">
        <is>
          <t>DNC_156 6,LI LÜX ÇAY KAŞIK GOLD</t>
        </is>
      </c>
      <c r="C144" s="25" t="inlineStr">
        <is>
          <t>DNC_156</t>
        </is>
      </c>
      <c r="D144" s="27" t="inlineStr">
        <is>
          <t>8683613550791</t>
        </is>
      </c>
      <c r="E144" s="29" t="inlineStr">
        <is>
          <t>Düzeltilecek: ORTAK BARKOD</t>
        </is>
      </c>
    </row>
    <row r="145">
      <c r="A145" s="25" t="n">
        <v>145</v>
      </c>
      <c r="B145" s="25" t="inlineStr">
        <is>
          <t>DNC_132 1 DZ ÇUBUK ÇAY KAŞIK</t>
        </is>
      </c>
      <c r="C145" s="25" t="inlineStr">
        <is>
          <t>DNC_132</t>
        </is>
      </c>
      <c r="D145" s="27" t="inlineStr">
        <is>
          <t>8683613550548</t>
        </is>
      </c>
      <c r="E145" s="29" t="inlineStr">
        <is>
          <t>Düzeltilecek: KODA BİRDEN FAZLA BARKOD</t>
        </is>
      </c>
    </row>
    <row r="146">
      <c r="A146" s="25" t="n">
        <v>146</v>
      </c>
      <c r="B146" s="25" t="inlineStr">
        <is>
          <t>DNC-068 1 DZ OKYANUS YEMEK KAŞIK</t>
        </is>
      </c>
      <c r="C146" s="25" t="inlineStr">
        <is>
          <t>DNC_068</t>
        </is>
      </c>
      <c r="D146" s="27" t="inlineStr">
        <is>
          <t>8683581657294</t>
        </is>
      </c>
      <c r="E146" s="32" t="inlineStr">
        <is>
          <t>Düzeltilecek: ÖNCEKİ LİSTEYLE ÇELİŞKİ</t>
        </is>
      </c>
    </row>
    <row r="147">
      <c r="A147" s="25" t="n">
        <v>147</v>
      </c>
      <c r="B147" s="25" t="inlineStr">
        <is>
          <t>DNC-067 1 DZ OKYANUS YEMEK ÇATAL</t>
        </is>
      </c>
      <c r="C147" s="25" t="inlineStr">
        <is>
          <t>DNC_067</t>
        </is>
      </c>
      <c r="D147" s="27" t="inlineStr">
        <is>
          <t>8683581657300</t>
        </is>
      </c>
      <c r="E147" s="25" t="inlineStr">
        <is>
          <t>Sorun yok</t>
        </is>
      </c>
    </row>
    <row r="148">
      <c r="A148" s="25" t="n">
        <v>148</v>
      </c>
      <c r="B148" s="25" t="inlineStr">
        <is>
          <t>DNC-070 1 DZ OKYANUS TATLI KAŞIK</t>
        </is>
      </c>
      <c r="C148" s="25" t="inlineStr">
        <is>
          <t>DNC_070</t>
        </is>
      </c>
      <c r="D148" s="27" t="inlineStr">
        <is>
          <t>8683581657324</t>
        </is>
      </c>
      <c r="E148" s="32" t="inlineStr">
        <is>
          <t>Düzeltilecek: ÖNCEKİ LİSTEYLE ÇELİŞKİ</t>
        </is>
      </c>
    </row>
    <row r="149">
      <c r="A149" s="25" t="n">
        <v>149</v>
      </c>
      <c r="B149" s="25" t="inlineStr">
        <is>
          <t>DNC-071 1 DZ OKYANUS TATLI ÇATAL</t>
        </is>
      </c>
      <c r="C149" s="25" t="inlineStr">
        <is>
          <t>DNC_071</t>
        </is>
      </c>
      <c r="D149" s="27" t="inlineStr">
        <is>
          <t>8683581657331</t>
        </is>
      </c>
      <c r="E149" s="29" t="inlineStr">
        <is>
          <t>Düzeltilecek: KODA BİRDEN FAZLA BARKOD, ÖNCEKİ LİSTEYLE ÇELİŞKİ</t>
        </is>
      </c>
    </row>
    <row r="150">
      <c r="A150" s="25" t="n">
        <v>150</v>
      </c>
      <c r="B150" s="25" t="inlineStr">
        <is>
          <t>DNC-072 1 DZ OKYANUS ÇAY KAŞIK</t>
        </is>
      </c>
      <c r="C150" s="25" t="inlineStr">
        <is>
          <t>DNC_072</t>
        </is>
      </c>
      <c r="D150" s="27" t="inlineStr">
        <is>
          <t>8683581657348</t>
        </is>
      </c>
      <c r="E150" s="29" t="inlineStr">
        <is>
          <t>Düzeltilecek: KODA BİRDEN FAZLA BARKOD, ÖNCEKİ LİSTEYLE ÇELİŞKİ</t>
        </is>
      </c>
    </row>
    <row r="151">
      <c r="A151" s="25" t="n">
        <v>151</v>
      </c>
      <c r="B151" s="25" t="inlineStr">
        <is>
          <t>DNC-071 1 DZ OKYANUS YEMEK BIÇAK</t>
        </is>
      </c>
      <c r="C151" s="25" t="inlineStr">
        <is>
          <t>DNC_071</t>
        </is>
      </c>
      <c r="D151" s="27" t="inlineStr">
        <is>
          <t>8683581657317</t>
        </is>
      </c>
      <c r="E151" s="29" t="inlineStr">
        <is>
          <t>Düzeltilecek: KODA BİRDEN FAZLA BARKOD</t>
        </is>
      </c>
    </row>
    <row r="152">
      <c r="A152" s="25" t="n">
        <v>152</v>
      </c>
      <c r="B152" s="25" t="inlineStr">
        <is>
          <t>DNC-072 OKYANUS 30 PRÇ ÇKB SET</t>
        </is>
      </c>
      <c r="C152" s="25" t="inlineStr">
        <is>
          <t>DNC_072</t>
        </is>
      </c>
      <c r="D152" s="27" t="inlineStr">
        <is>
          <t>8683581657836</t>
        </is>
      </c>
      <c r="E152" s="29" t="inlineStr">
        <is>
          <t>Düzeltilecek: KODA BİRDEN FAZLA BARKOD</t>
        </is>
      </c>
    </row>
    <row r="153">
      <c r="A153" s="25" t="n">
        <v>153</v>
      </c>
      <c r="B153" s="25" t="inlineStr">
        <is>
          <t>DNC-073 OKYANUS 36 PRÇ ÇKB SET</t>
        </is>
      </c>
      <c r="C153" s="25" t="inlineStr">
        <is>
          <t>DNC_073</t>
        </is>
      </c>
      <c r="D153" s="27" t="inlineStr">
        <is>
          <t>8683581657843</t>
        </is>
      </c>
      <c r="E153" s="25" t="inlineStr">
        <is>
          <t>Sorun yok</t>
        </is>
      </c>
    </row>
    <row r="154">
      <c r="A154" s="25" t="n">
        <v>154</v>
      </c>
      <c r="B154" s="25" t="inlineStr">
        <is>
          <t>DNC-074 OKYANUS 60 PRÇ ÇKB SET</t>
        </is>
      </c>
      <c r="C154" s="25" t="inlineStr">
        <is>
          <t>DNC_074</t>
        </is>
      </c>
      <c r="D154" s="27" t="inlineStr">
        <is>
          <t>8683581657850</t>
        </is>
      </c>
      <c r="E154" s="25" t="inlineStr">
        <is>
          <t>Sorun yok</t>
        </is>
      </c>
    </row>
    <row r="155">
      <c r="A155" s="25" t="n">
        <v>155</v>
      </c>
      <c r="B155" s="25" t="inlineStr">
        <is>
          <t>DNC-077 OKYANUS 72 PRÇ ÇKB SET</t>
        </is>
      </c>
      <c r="C155" s="25" t="inlineStr">
        <is>
          <t>DNC_077</t>
        </is>
      </c>
      <c r="D155" s="27" t="inlineStr">
        <is>
          <t>8683581657003</t>
        </is>
      </c>
      <c r="E155" s="29" t="inlineStr">
        <is>
          <t>Düzeltilecek: ORTAK BARKOD</t>
        </is>
      </c>
    </row>
    <row r="156">
      <c r="A156" s="25" t="n">
        <v>156</v>
      </c>
      <c r="B156" s="25" t="inlineStr">
        <is>
          <t>DNC-105 6'LI OKYANUS YEMEK KAŞIK</t>
        </is>
      </c>
      <c r="C156" s="25" t="inlineStr">
        <is>
          <t>DNC_105</t>
        </is>
      </c>
      <c r="D156" s="27" t="inlineStr">
        <is>
          <t>8683613550166</t>
        </is>
      </c>
      <c r="E156" s="25" t="inlineStr">
        <is>
          <t>Sorun yok</t>
        </is>
      </c>
    </row>
    <row r="157">
      <c r="A157" s="25" t="n">
        <v>157</v>
      </c>
      <c r="B157" s="25" t="inlineStr">
        <is>
          <t>DNC-106 6'LI OKYANUS YEMEK ÇATAL</t>
        </is>
      </c>
      <c r="C157" s="25" t="inlineStr">
        <is>
          <t>DNC_106</t>
        </is>
      </c>
      <c r="D157" s="27" t="inlineStr">
        <is>
          <t>8683613550173</t>
        </is>
      </c>
      <c r="E157" s="25" t="inlineStr">
        <is>
          <t>Sorun yok</t>
        </is>
      </c>
    </row>
    <row r="158">
      <c r="A158" s="25" t="n">
        <v>158</v>
      </c>
      <c r="B158" s="25" t="inlineStr">
        <is>
          <t>DNC-107 6'LI OKYANUS TATLI KAŞIK</t>
        </is>
      </c>
      <c r="C158" s="25" t="inlineStr">
        <is>
          <t>DNC_107</t>
        </is>
      </c>
      <c r="D158" s="27" t="inlineStr">
        <is>
          <t>8683613550197</t>
        </is>
      </c>
      <c r="E158" s="25" t="inlineStr">
        <is>
          <t>Sorun yok</t>
        </is>
      </c>
    </row>
    <row r="159">
      <c r="A159" s="25" t="n">
        <v>159</v>
      </c>
      <c r="B159" s="25" t="inlineStr">
        <is>
          <t>DNC-108 6'LI OKYANUS TATLI ÇATAL</t>
        </is>
      </c>
      <c r="C159" s="25" t="inlineStr">
        <is>
          <t>DNC_108</t>
        </is>
      </c>
      <c r="D159" s="27" t="inlineStr">
        <is>
          <t>8683613550203</t>
        </is>
      </c>
      <c r="E159" s="25" t="inlineStr">
        <is>
          <t>Sorun yok</t>
        </is>
      </c>
    </row>
    <row r="160">
      <c r="A160" s="25" t="n">
        <v>160</v>
      </c>
      <c r="B160" s="25" t="inlineStr">
        <is>
          <t>DNC-109 6'LI OKYANUS ÇAY KAŞIK</t>
        </is>
      </c>
      <c r="C160" s="25" t="inlineStr">
        <is>
          <t>DNC_109</t>
        </is>
      </c>
      <c r="D160" s="27" t="inlineStr">
        <is>
          <t>8683613550210</t>
        </is>
      </c>
      <c r="E160" s="25" t="inlineStr">
        <is>
          <t>Sorun yok</t>
        </is>
      </c>
    </row>
    <row r="161">
      <c r="A161" s="25" t="n">
        <v>161</v>
      </c>
      <c r="B161" s="25" t="inlineStr">
        <is>
          <t>DNC-110 3'LÜ OKYANUS YEMEK BIÇAK</t>
        </is>
      </c>
      <c r="C161" s="25" t="inlineStr">
        <is>
          <t>DNC_110</t>
        </is>
      </c>
      <c r="D161" s="27" t="inlineStr">
        <is>
          <t>8683613550180</t>
        </is>
      </c>
      <c r="E161" s="25" t="inlineStr">
        <is>
          <t>Sorun yok</t>
        </is>
      </c>
    </row>
    <row r="162">
      <c r="A162" s="25" t="n">
        <v>162</v>
      </c>
      <c r="B162" s="25" t="inlineStr">
        <is>
          <t>DNC-162 OKYANUS SOS SERVİS KAŞIK</t>
        </is>
      </c>
      <c r="C162" s="25" t="inlineStr">
        <is>
          <t>DNC_162</t>
        </is>
      </c>
      <c r="D162" s="27" t="inlineStr">
        <is>
          <t>8683613550371</t>
        </is>
      </c>
      <c r="E162" s="29" t="inlineStr">
        <is>
          <t>Düzeltilecek: ORTAK BARKOD</t>
        </is>
      </c>
    </row>
    <row r="163">
      <c r="A163" s="25" t="n">
        <v>163</v>
      </c>
      <c r="B163" s="25" t="inlineStr">
        <is>
          <t>DNC-163 OKYANUS SOS SERVİS SPATULA</t>
        </is>
      </c>
      <c r="C163" s="25" t="inlineStr">
        <is>
          <t>DNC_163</t>
        </is>
      </c>
      <c r="D163" s="27" t="inlineStr">
        <is>
          <t>8683613550364</t>
        </is>
      </c>
      <c r="E163" s="29" t="inlineStr">
        <is>
          <t>Düzeltilecek: ORTAK BARKOD</t>
        </is>
      </c>
    </row>
    <row r="164">
      <c r="A164" s="25" t="n">
        <v>164</v>
      </c>
      <c r="B164" s="25" t="inlineStr">
        <is>
          <t>DNC-164 OKYANUS SOS SERVİS ÇATAL</t>
        </is>
      </c>
      <c r="C164" s="25" t="inlineStr">
        <is>
          <t>DNC_164</t>
        </is>
      </c>
      <c r="D164" s="27" t="inlineStr">
        <is>
          <t>8683613550524</t>
        </is>
      </c>
      <c r="E164" s="25" t="inlineStr">
        <is>
          <t>Sorun yok</t>
        </is>
      </c>
    </row>
    <row r="165">
      <c r="A165" s="25" t="n">
        <v>165</v>
      </c>
      <c r="B165" s="25" t="inlineStr">
        <is>
          <t>DNC_141 OKYANUS SOS SERVİS KEPÇE</t>
        </is>
      </c>
      <c r="C165" s="25" t="inlineStr">
        <is>
          <t>DNC_141</t>
        </is>
      </c>
      <c r="D165" s="27" t="inlineStr">
        <is>
          <t>8683613550760</t>
        </is>
      </c>
      <c r="E165" s="29" t="inlineStr">
        <is>
          <t>Düzeltilecek: ORTAK BARKOD</t>
        </is>
      </c>
    </row>
    <row r="166">
      <c r="A166" s="25" t="n">
        <v>166</v>
      </c>
      <c r="B166" s="25" t="inlineStr">
        <is>
          <t>DNC_142 OKYANUS SOS SERVİS KEVGİR</t>
        </is>
      </c>
      <c r="C166" s="25" t="inlineStr">
        <is>
          <t>DNC_142</t>
        </is>
      </c>
      <c r="D166" s="27" t="inlineStr">
        <is>
          <t>8683613550777</t>
        </is>
      </c>
      <c r="E166" s="29" t="inlineStr">
        <is>
          <t>Düzeltilecek: ORTAK BARKOD</t>
        </is>
      </c>
    </row>
    <row r="167">
      <c r="A167" s="25" t="n">
        <v>167</v>
      </c>
      <c r="B167" s="25" t="inlineStr">
        <is>
          <t>DNC_143 OKYANUS SOS SERVİS KAŞIK</t>
        </is>
      </c>
      <c r="C167" s="25" t="inlineStr">
        <is>
          <t>DNC_143</t>
        </is>
      </c>
      <c r="D167" s="27" t="inlineStr">
        <is>
          <t>8683613550784</t>
        </is>
      </c>
      <c r="E167" s="29" t="inlineStr">
        <is>
          <t>Düzeltilecek: ORTAK BARKOD</t>
        </is>
      </c>
    </row>
    <row r="168">
      <c r="A168" s="25" t="n">
        <v>168</v>
      </c>
      <c r="B168" s="25" t="inlineStr">
        <is>
          <t>DNC_144 OKYANUS SOS SERVİS SPATULA</t>
        </is>
      </c>
      <c r="C168" s="25" t="inlineStr">
        <is>
          <t>DNC_144</t>
        </is>
      </c>
      <c r="D168" s="27" t="inlineStr">
        <is>
          <t>8683613550791</t>
        </is>
      </c>
      <c r="E168" s="29" t="inlineStr">
        <is>
          <t>Düzeltilecek: ORTAK BARKOD</t>
        </is>
      </c>
    </row>
    <row r="169">
      <c r="A169" s="25" t="n">
        <v>169</v>
      </c>
      <c r="B169" s="25" t="inlineStr">
        <is>
          <t>DNC_145 OKYANUS SOS SERVİS ÇATAL</t>
        </is>
      </c>
      <c r="C169" s="25" t="inlineStr">
        <is>
          <t>DNC_145</t>
        </is>
      </c>
      <c r="D169" s="27" t="inlineStr">
        <is>
          <t>8683613550807</t>
        </is>
      </c>
      <c r="E169" s="29" t="inlineStr">
        <is>
          <t>Düzeltilecek: ORTAK BARKOD</t>
        </is>
      </c>
    </row>
    <row r="170">
      <c r="A170" s="25" t="n">
        <v>170</v>
      </c>
      <c r="B170" s="25" t="inlineStr">
        <is>
          <t>DNC_146 OKYANUS SOS SERVİS SETİ SADE</t>
        </is>
      </c>
      <c r="C170" s="25" t="inlineStr">
        <is>
          <t>DNC_146</t>
        </is>
      </c>
      <c r="D170" s="27" t="inlineStr">
        <is>
          <t>86836135508142</t>
        </is>
      </c>
      <c r="E170" s="30" t="inlineStr">
        <is>
          <t>Düzeltilecek: GEÇERSİZ BARKOD</t>
        </is>
      </c>
    </row>
    <row r="171">
      <c r="A171" s="25" t="n">
        <v>171</v>
      </c>
      <c r="B171" s="25" t="inlineStr">
        <is>
          <t>DNC_160 OKYANUS SOS SERVİS KEPÇE</t>
        </is>
      </c>
      <c r="C171" s="25" t="inlineStr">
        <is>
          <t>DNC_160</t>
        </is>
      </c>
      <c r="D171" s="27" t="inlineStr">
        <is>
          <t>8683613550547</t>
        </is>
      </c>
      <c r="E171" s="30" t="inlineStr">
        <is>
          <t>Düzeltilecek: GEÇERSİZ BARKOD, AYNI ÜRÜN – FARKLI ÖNEK</t>
        </is>
      </c>
    </row>
    <row r="172">
      <c r="A172" s="25" t="n">
        <v>172</v>
      </c>
      <c r="B172" s="25" t="inlineStr">
        <is>
          <t>DNC_161 OKYANUS SOS SERVİS KEVGİR</t>
        </is>
      </c>
      <c r="C172" s="25" t="inlineStr">
        <is>
          <t>DNC_161</t>
        </is>
      </c>
      <c r="D172" s="27" t="inlineStr">
        <is>
          <t>8683613550630</t>
        </is>
      </c>
      <c r="E172" s="25" t="inlineStr">
        <is>
          <t>Sorun yok</t>
        </is>
      </c>
    </row>
    <row r="173">
      <c r="A173" s="25" t="n">
        <v>173</v>
      </c>
      <c r="B173" s="25" t="inlineStr">
        <is>
          <t>DNC_165 OKYANUS SOS SERVİS TK SADE</t>
        </is>
      </c>
      <c r="C173" s="25" t="inlineStr">
        <is>
          <t>DNC_165</t>
        </is>
      </c>
      <c r="D173" s="27" t="inlineStr">
        <is>
          <t>8683613550616</t>
        </is>
      </c>
      <c r="E173" s="28" t="inlineStr">
        <is>
          <t>Düzeltilecek: AYNI ÜRÜN – FARKLI ÖNEK</t>
        </is>
      </c>
    </row>
    <row r="174">
      <c r="A174" s="25" t="n">
        <v>174</v>
      </c>
      <c r="B174" s="25" t="inlineStr">
        <is>
          <t>DNC_166 OKYANUS SOS KEPÇE TİTANİUM</t>
        </is>
      </c>
      <c r="C174" s="25" t="inlineStr">
        <is>
          <t>DNC_166</t>
        </is>
      </c>
      <c r="D174" s="27" t="inlineStr">
        <is>
          <t>8683613550661</t>
        </is>
      </c>
      <c r="E174" s="29" t="inlineStr">
        <is>
          <t>Düzeltilecek: ORTAK BARKOD</t>
        </is>
      </c>
    </row>
    <row r="175">
      <c r="A175" s="25" t="n">
        <v>175</v>
      </c>
      <c r="B175" s="25" t="inlineStr">
        <is>
          <t>DNC_167 OKYANUS SOS KEVGİR TİTANİUM</t>
        </is>
      </c>
      <c r="C175" s="25" t="inlineStr">
        <is>
          <t>DNC_167</t>
        </is>
      </c>
      <c r="D175" s="27" t="inlineStr">
        <is>
          <t>8683613550678</t>
        </is>
      </c>
      <c r="E175" s="29" t="inlineStr">
        <is>
          <t>Düzeltilecek: ORTAK BARKOD</t>
        </is>
      </c>
    </row>
    <row r="176">
      <c r="A176" s="25" t="n">
        <v>176</v>
      </c>
      <c r="B176" s="25" t="inlineStr">
        <is>
          <t>DNC_168 OKYANUS SOS KAŞIK TİTANİUM</t>
        </is>
      </c>
      <c r="C176" s="25" t="inlineStr">
        <is>
          <t>DNC_168</t>
        </is>
      </c>
      <c r="D176" s="27" t="inlineStr">
        <is>
          <t>8683613550685</t>
        </is>
      </c>
      <c r="E176" s="29" t="inlineStr">
        <is>
          <t>Düzeltilecek: ORTAK BARKOD</t>
        </is>
      </c>
    </row>
    <row r="177">
      <c r="A177" s="25" t="n">
        <v>177</v>
      </c>
      <c r="B177" s="25" t="inlineStr">
        <is>
          <t>DNC_169 OKYANUS SOS SPATULA TİTANİUM</t>
        </is>
      </c>
      <c r="C177" s="25" t="inlineStr">
        <is>
          <t>DNC_169</t>
        </is>
      </c>
      <c r="D177" s="27" t="inlineStr">
        <is>
          <t>8683613550692</t>
        </is>
      </c>
      <c r="E177" s="29" t="inlineStr">
        <is>
          <t>Düzeltilecek: ORTAK BARKOD</t>
        </is>
      </c>
    </row>
    <row r="178">
      <c r="A178" s="25" t="n">
        <v>178</v>
      </c>
      <c r="B178" s="25" t="inlineStr">
        <is>
          <t>DNC_170 OKYANUS SOS ÇATAL TİTANİUM</t>
        </is>
      </c>
      <c r="C178" s="25" t="inlineStr">
        <is>
          <t>DNC_170</t>
        </is>
      </c>
      <c r="D178" s="27" t="inlineStr">
        <is>
          <t>86836135500777</t>
        </is>
      </c>
      <c r="E178" s="30" t="inlineStr">
        <is>
          <t>Düzeltilecek: GEÇERSİZ BARKOD</t>
        </is>
      </c>
    </row>
    <row r="179">
      <c r="A179" s="25" t="n">
        <v>179</v>
      </c>
      <c r="B179" s="25" t="inlineStr">
        <is>
          <t>DNC_171 OKYANUS SOS SERVİS TK TİTANİUM</t>
        </is>
      </c>
      <c r="C179" s="25" t="inlineStr">
        <is>
          <t>DNC_171</t>
        </is>
      </c>
      <c r="D179" s="27" t="inlineStr">
        <is>
          <t>8683613550678</t>
        </is>
      </c>
      <c r="E179" s="29" t="inlineStr">
        <is>
          <t>Düzeltilecek: ORTAK BARKOD</t>
        </is>
      </c>
    </row>
    <row r="180">
      <c r="A180" s="25" t="n">
        <v>180</v>
      </c>
      <c r="B180" s="25" t="inlineStr">
        <is>
          <t>DNC_172  SOS SERVİS TK MAT TİTANİUM</t>
        </is>
      </c>
      <c r="C180" s="25" t="inlineStr">
        <is>
          <t>DNC_172</t>
        </is>
      </c>
      <c r="D180" s="27" t="inlineStr">
        <is>
          <t>8683613550685</t>
        </is>
      </c>
      <c r="E180" s="29" t="inlineStr">
        <is>
          <t>Düzeltilecek: ORTAK BARKOD</t>
        </is>
      </c>
    </row>
    <row r="181">
      <c r="A181" s="25" t="n">
        <v>181</v>
      </c>
      <c r="B181" s="25" t="inlineStr">
        <is>
          <t>DNC_173 5,Lİ SOS SERVİS TK MİRA GOLD</t>
        </is>
      </c>
      <c r="C181" s="25" t="inlineStr">
        <is>
          <t>DNC_173</t>
        </is>
      </c>
      <c r="D181" s="27" t="inlineStr">
        <is>
          <t>8683613550692</t>
        </is>
      </c>
      <c r="E181" s="29" t="inlineStr">
        <is>
          <t>Düzeltilecek: ORTAK BARKOD</t>
        </is>
      </c>
    </row>
    <row r="182">
      <c r="A182" s="25" t="n">
        <v>182</v>
      </c>
      <c r="B182" s="25" t="inlineStr">
        <is>
          <t>DNC_174 5,Lİ SOS SERVİS MİRA MAT GOLD</t>
        </is>
      </c>
      <c r="C182" s="25" t="inlineStr">
        <is>
          <t>DNC_174</t>
        </is>
      </c>
      <c r="D182" s="27" t="inlineStr">
        <is>
          <t>8683613550708</t>
        </is>
      </c>
      <c r="E182" s="29" t="inlineStr">
        <is>
          <t>Düzeltilecek: ORTAK BARKOD</t>
        </is>
      </c>
    </row>
    <row r="183">
      <c r="A183" s="25" t="n">
        <v>183</v>
      </c>
      <c r="B183" s="25" t="inlineStr">
        <is>
          <t>DNC_175  MİRA GOLD SOS SERVİS KEPÇE</t>
        </is>
      </c>
      <c r="C183" s="25" t="inlineStr">
        <is>
          <t>DNC_175</t>
        </is>
      </c>
      <c r="D183" s="27" t="inlineStr">
        <is>
          <t>8683613550715</t>
        </is>
      </c>
      <c r="E183" s="29" t="inlineStr">
        <is>
          <t>Düzeltilecek: ORTAK BARKOD</t>
        </is>
      </c>
    </row>
    <row r="184">
      <c r="A184" s="25" t="n">
        <v>184</v>
      </c>
      <c r="B184" s="25" t="inlineStr">
        <is>
          <t>DNC_176  MİRA GOLD SOS SERVİS KEVGİR</t>
        </is>
      </c>
      <c r="C184" s="25" t="inlineStr">
        <is>
          <t>DNC_176</t>
        </is>
      </c>
      <c r="D184" s="27" t="inlineStr">
        <is>
          <t>8683613550722</t>
        </is>
      </c>
      <c r="E184" s="29" t="inlineStr">
        <is>
          <t>Düzeltilecek: ORTAK BARKOD</t>
        </is>
      </c>
    </row>
    <row r="185">
      <c r="A185" s="25" t="n">
        <v>185</v>
      </c>
      <c r="B185" s="25" t="inlineStr">
        <is>
          <t>DNC_177  MİRA GOLD SOS SERVİS KAŞIK</t>
        </is>
      </c>
      <c r="C185" s="25" t="inlineStr">
        <is>
          <t>DNC_177</t>
        </is>
      </c>
      <c r="D185" s="27" t="inlineStr">
        <is>
          <t>8683613550739</t>
        </is>
      </c>
      <c r="E185" s="29" t="inlineStr">
        <is>
          <t>Düzeltilecek: ORTAK BARKOD</t>
        </is>
      </c>
    </row>
    <row r="186">
      <c r="A186" s="25" t="n">
        <v>186</v>
      </c>
      <c r="B186" s="25" t="inlineStr">
        <is>
          <t>DNC_178  MİRA GOLD SOS SERVİS SPATULA</t>
        </is>
      </c>
      <c r="C186" s="25" t="inlineStr">
        <is>
          <t>DNC_178</t>
        </is>
      </c>
      <c r="D186" s="27" t="inlineStr">
        <is>
          <t>8683613550746</t>
        </is>
      </c>
      <c r="E186" s="25" t="inlineStr">
        <is>
          <t>Sorun yok</t>
        </is>
      </c>
    </row>
    <row r="187">
      <c r="A187" s="25" t="n">
        <v>187</v>
      </c>
      <c r="B187" s="25" t="inlineStr">
        <is>
          <t>DNC_179  MİRA GOLD SOS SERVİS ÇATAL</t>
        </is>
      </c>
      <c r="C187" s="25" t="inlineStr">
        <is>
          <t>DNC_179</t>
        </is>
      </c>
      <c r="D187" s="27" t="inlineStr">
        <is>
          <t>8683613550753</t>
        </is>
      </c>
      <c r="E187" s="25" t="inlineStr">
        <is>
          <t>Sorun yok</t>
        </is>
      </c>
    </row>
    <row r="188">
      <c r="A188" s="25" t="n">
        <v>188</v>
      </c>
      <c r="B188" s="25" t="inlineStr">
        <is>
          <t>DNC_132 SİYAH TİTANİUM DONDURMA KAŞIK 6,LI</t>
        </is>
      </c>
      <c r="C188" s="25" t="inlineStr">
        <is>
          <t>DNC_132</t>
        </is>
      </c>
      <c r="D188" s="27" t="inlineStr">
        <is>
          <t>8683613550593</t>
        </is>
      </c>
      <c r="E188" s="29" t="inlineStr">
        <is>
          <t>Düzeltilecek: KODA BİRDEN FAZLA BARKOD</t>
        </is>
      </c>
    </row>
    <row r="189">
      <c r="A189" s="25" t="n">
        <v>189</v>
      </c>
      <c r="B189" s="25" t="inlineStr">
        <is>
          <t>DNC-001 PLATİN YEMEK KAŞIK</t>
        </is>
      </c>
      <c r="C189" s="25" t="inlineStr">
        <is>
          <t>DNC_001</t>
        </is>
      </c>
      <c r="D189" s="27" t="inlineStr">
        <is>
          <t>8683581657003</t>
        </is>
      </c>
      <c r="E189" s="29" t="inlineStr">
        <is>
          <t>Düzeltilecek: ORTAK BARKOD</t>
        </is>
      </c>
    </row>
    <row r="190">
      <c r="A190" s="25" t="n">
        <v>190</v>
      </c>
      <c r="B190" s="25" t="inlineStr">
        <is>
          <t>DNC-002 1 DZ PLATİN YEMEK ÇATAL</t>
        </is>
      </c>
      <c r="C190" s="25" t="inlineStr">
        <is>
          <t>DNC_002</t>
        </is>
      </c>
      <c r="D190" s="27" t="inlineStr">
        <is>
          <t>8683581657010</t>
        </is>
      </c>
      <c r="E190" s="25" t="inlineStr">
        <is>
          <t>Sorun yok</t>
        </is>
      </c>
    </row>
    <row r="191">
      <c r="A191" s="25" t="n">
        <v>191</v>
      </c>
      <c r="B191" s="25" t="inlineStr">
        <is>
          <t>DNC-003 1 DZ PLATİN TATLI KAŞIK</t>
        </is>
      </c>
      <c r="C191" s="25" t="inlineStr">
        <is>
          <t>DNC_003</t>
        </is>
      </c>
      <c r="D191" s="27" t="inlineStr">
        <is>
          <t>8683581657034</t>
        </is>
      </c>
      <c r="E191" s="25" t="inlineStr">
        <is>
          <t>Sorun yok</t>
        </is>
      </c>
    </row>
    <row r="192">
      <c r="A192" s="25" t="n">
        <v>192</v>
      </c>
      <c r="B192" s="25" t="inlineStr">
        <is>
          <t>DNC-004 1 DZ PLATİN TATLI ÇATAL</t>
        </is>
      </c>
      <c r="C192" s="25" t="inlineStr">
        <is>
          <t>DNC_004</t>
        </is>
      </c>
      <c r="D192" s="27" t="inlineStr">
        <is>
          <t>8683581657041</t>
        </is>
      </c>
      <c r="E192" s="25" t="inlineStr">
        <is>
          <t>Sorun yok</t>
        </is>
      </c>
    </row>
    <row r="193">
      <c r="A193" s="25" t="n">
        <v>193</v>
      </c>
      <c r="B193" s="25" t="inlineStr">
        <is>
          <t>DNC-005 1 DZ PLATİN ÇAY KAŞIK</t>
        </is>
      </c>
      <c r="C193" s="25" t="inlineStr">
        <is>
          <t>DNC_005</t>
        </is>
      </c>
      <c r="D193" s="27" t="inlineStr">
        <is>
          <t>8683581657058</t>
        </is>
      </c>
      <c r="E193" s="25" t="inlineStr">
        <is>
          <t>Sorun yok</t>
        </is>
      </c>
    </row>
    <row r="194">
      <c r="A194" s="25" t="n">
        <v>194</v>
      </c>
      <c r="B194" s="25" t="inlineStr">
        <is>
          <t>DNC-006 1 DZ PLATİN YEMEK BIÇAK</t>
        </is>
      </c>
      <c r="C194" s="25" t="inlineStr">
        <is>
          <t>DNC_006</t>
        </is>
      </c>
      <c r="D194" s="27" t="inlineStr">
        <is>
          <t>8683581657027</t>
        </is>
      </c>
      <c r="E194" s="25" t="inlineStr">
        <is>
          <t>Sorun yok</t>
        </is>
      </c>
    </row>
    <row r="195">
      <c r="A195" s="25" t="n">
        <v>195</v>
      </c>
      <c r="B195" s="25" t="inlineStr">
        <is>
          <t>DNC-007 1 DZ PLATİN PASTA BIÇAK</t>
        </is>
      </c>
      <c r="C195" s="25" t="inlineStr">
        <is>
          <t>DNC_007</t>
        </is>
      </c>
      <c r="D195" s="27" t="inlineStr">
        <is>
          <t>8683581657065</t>
        </is>
      </c>
      <c r="E195" s="25" t="inlineStr">
        <is>
          <t>Sorun yok</t>
        </is>
      </c>
    </row>
    <row r="196">
      <c r="A196" s="25" t="n">
        <v>196</v>
      </c>
      <c r="B196" s="25" t="inlineStr">
        <is>
          <t>DNC-008 PLATİN DONDURMA KAŞIK</t>
        </is>
      </c>
      <c r="C196" s="25" t="inlineStr">
        <is>
          <t>DNC_008</t>
        </is>
      </c>
      <c r="D196" s="27" t="inlineStr">
        <is>
          <t>8683581657089</t>
        </is>
      </c>
      <c r="E196" s="25" t="inlineStr">
        <is>
          <t>Sorun yok</t>
        </is>
      </c>
    </row>
    <row r="197">
      <c r="A197" s="25" t="n">
        <v>197</v>
      </c>
      <c r="B197" s="25" t="inlineStr">
        <is>
          <t>DNC-009 PLATİN NESTCAFE KAŞIK</t>
        </is>
      </c>
      <c r="C197" s="25" t="inlineStr">
        <is>
          <t>DNC_009</t>
        </is>
      </c>
      <c r="D197" s="27" t="inlineStr">
        <is>
          <t>8683581657072</t>
        </is>
      </c>
      <c r="E197" s="25" t="inlineStr">
        <is>
          <t>Sorun yok</t>
        </is>
      </c>
    </row>
    <row r="198">
      <c r="A198" s="25" t="n">
        <v>198</v>
      </c>
      <c r="B198" s="25" t="inlineStr">
        <is>
          <t>DNC-010 PLATİN SERVİS KEPÇE</t>
        </is>
      </c>
      <c r="C198" s="25" t="inlineStr">
        <is>
          <t>DNC_010</t>
        </is>
      </c>
      <c r="D198" s="27" t="inlineStr">
        <is>
          <t>8683581657096</t>
        </is>
      </c>
      <c r="E198" s="25" t="inlineStr">
        <is>
          <t>Sorun yok</t>
        </is>
      </c>
    </row>
    <row r="199">
      <c r="A199" s="25" t="n">
        <v>199</v>
      </c>
      <c r="B199" s="25" t="inlineStr">
        <is>
          <t>DNC-011 PLATİN SERVİS KEVGİR</t>
        </is>
      </c>
      <c r="C199" s="25" t="inlineStr">
        <is>
          <t>DNC_011</t>
        </is>
      </c>
      <c r="D199" s="27" t="inlineStr">
        <is>
          <t>8683581657102</t>
        </is>
      </c>
      <c r="E199" s="25" t="inlineStr">
        <is>
          <t>Sorun yok</t>
        </is>
      </c>
    </row>
    <row r="200">
      <c r="A200" s="25" t="n">
        <v>200</v>
      </c>
      <c r="B200" s="25" t="inlineStr">
        <is>
          <t>DNC-012 PLATİN SERVİS KAŞIK</t>
        </is>
      </c>
      <c r="C200" s="25" t="inlineStr">
        <is>
          <t>DNC_012</t>
        </is>
      </c>
      <c r="D200" s="27" t="inlineStr">
        <is>
          <t>8683581657119</t>
        </is>
      </c>
      <c r="E200" s="25" t="inlineStr">
        <is>
          <t>Sorun yok</t>
        </is>
      </c>
    </row>
    <row r="201">
      <c r="A201" s="25" t="n">
        <v>201</v>
      </c>
      <c r="B201" s="25" t="inlineStr">
        <is>
          <t>DNC-013 PLATİN SERVİS SPATULA</t>
        </is>
      </c>
      <c r="C201" s="25" t="inlineStr">
        <is>
          <t>DNC_013</t>
        </is>
      </c>
      <c r="D201" s="27" t="inlineStr">
        <is>
          <t>8683581657126</t>
        </is>
      </c>
      <c r="E201" s="25" t="inlineStr">
        <is>
          <t>Sorun yok</t>
        </is>
      </c>
    </row>
    <row r="202">
      <c r="A202" s="25" t="n">
        <v>202</v>
      </c>
      <c r="B202" s="25" t="inlineStr">
        <is>
          <t>DNC-014 PLATİN SERVİS ÇATAL</t>
        </is>
      </c>
      <c r="C202" s="25" t="inlineStr">
        <is>
          <t>DNC_014</t>
        </is>
      </c>
      <c r="D202" s="27" t="inlineStr">
        <is>
          <t>8683581657133</t>
        </is>
      </c>
      <c r="E202" s="25" t="inlineStr">
        <is>
          <t>Sorun yok</t>
        </is>
      </c>
    </row>
    <row r="203">
      <c r="A203" s="25" t="n">
        <v>203</v>
      </c>
      <c r="B203" s="25" t="inlineStr">
        <is>
          <t>DNC-015 PLATİN SERVİS SET SADE</t>
        </is>
      </c>
      <c r="C203" s="25" t="inlineStr">
        <is>
          <t>DNC_015</t>
        </is>
      </c>
      <c r="D203" s="27" t="inlineStr">
        <is>
          <t>8683581657638</t>
        </is>
      </c>
      <c r="E203" s="25" t="inlineStr">
        <is>
          <t>Sorun yok</t>
        </is>
      </c>
    </row>
    <row r="204">
      <c r="A204" s="25" t="n">
        <v>204</v>
      </c>
      <c r="B204" s="25" t="inlineStr">
        <is>
          <t>DNC-016 PLATİN 30 PRÇ Ç.K.B SET</t>
        </is>
      </c>
      <c r="C204" s="25" t="inlineStr">
        <is>
          <t>DNC_016</t>
        </is>
      </c>
      <c r="D204" s="27" t="inlineStr">
        <is>
          <t>8683581657461</t>
        </is>
      </c>
      <c r="E204" s="25" t="inlineStr">
        <is>
          <t>Sorun yok</t>
        </is>
      </c>
    </row>
    <row r="205">
      <c r="A205" s="25" t="n">
        <v>205</v>
      </c>
      <c r="B205" s="25" t="inlineStr">
        <is>
          <t>DNC-017 PLATİN 36 PRÇ Ç.K.B SET</t>
        </is>
      </c>
      <c r="C205" s="25" t="inlineStr">
        <is>
          <t>DNC_017</t>
        </is>
      </c>
      <c r="D205" s="27" t="inlineStr">
        <is>
          <t>8683581657478</t>
        </is>
      </c>
      <c r="E205" s="25" t="inlineStr">
        <is>
          <t>Sorun yok</t>
        </is>
      </c>
    </row>
    <row r="206">
      <c r="A206" s="25" t="n">
        <v>206</v>
      </c>
      <c r="B206" s="25" t="inlineStr">
        <is>
          <t>DNC-018 PLATİN 60 PRÇ Ç.K.B SET</t>
        </is>
      </c>
      <c r="C206" s="25" t="inlineStr">
        <is>
          <t>DNC_018</t>
        </is>
      </c>
      <c r="D206" s="27" t="inlineStr">
        <is>
          <t>8683581657485</t>
        </is>
      </c>
      <c r="E206" s="25" t="inlineStr">
        <is>
          <t>Sorun yok</t>
        </is>
      </c>
    </row>
    <row r="207">
      <c r="A207" s="25" t="n">
        <v>207</v>
      </c>
      <c r="B207" s="25" t="inlineStr">
        <is>
          <t>DNC-019 PLATİN 72 PRÇ Ç.K.B SET</t>
        </is>
      </c>
      <c r="C207" s="25" t="inlineStr">
        <is>
          <t>DNC_019</t>
        </is>
      </c>
      <c r="D207" s="27" t="inlineStr">
        <is>
          <t>8683581657492</t>
        </is>
      </c>
      <c r="E207" s="25" t="inlineStr">
        <is>
          <t>Sorun yok</t>
        </is>
      </c>
    </row>
    <row r="208">
      <c r="A208" s="25" t="n">
        <v>208</v>
      </c>
      <c r="B208" s="25" t="inlineStr">
        <is>
          <t>DNC-020 PLATİN 89 PRÇ Ç.K.B SET</t>
        </is>
      </c>
      <c r="C208" s="25" t="inlineStr">
        <is>
          <t>DNC_020</t>
        </is>
      </c>
      <c r="D208" s="27" t="inlineStr">
        <is>
          <t>8683581657515</t>
        </is>
      </c>
      <c r="E208" s="25" t="inlineStr">
        <is>
          <t>Sorun yok</t>
        </is>
      </c>
    </row>
    <row r="209">
      <c r="A209" s="25" t="n">
        <v>209</v>
      </c>
      <c r="B209" s="25" t="inlineStr">
        <is>
          <t>DNC-021 PLATİN MİRA GOLD DONDURMA KAŞIK</t>
        </is>
      </c>
      <c r="C209" s="25" t="inlineStr">
        <is>
          <t>DNC_021</t>
        </is>
      </c>
      <c r="D209" s="27" t="inlineStr">
        <is>
          <t>8683581657683</t>
        </is>
      </c>
      <c r="E209" s="25" t="inlineStr">
        <is>
          <t>Sorun yok</t>
        </is>
      </c>
    </row>
    <row r="210">
      <c r="A210" s="25" t="n">
        <v>210</v>
      </c>
      <c r="B210" s="25" t="inlineStr">
        <is>
          <t>DNC-022  PLATİN MİRA GOLD NESTCAFE KAŞIK</t>
        </is>
      </c>
      <c r="C210" s="25" t="inlineStr">
        <is>
          <t>DNC_022</t>
        </is>
      </c>
      <c r="D210" s="27" t="inlineStr">
        <is>
          <t>8683581657676</t>
        </is>
      </c>
      <c r="E210" s="25" t="inlineStr">
        <is>
          <t>Sorun yok</t>
        </is>
      </c>
    </row>
    <row r="211">
      <c r="A211" s="25" t="n">
        <v>211</v>
      </c>
      <c r="B211" s="25" t="inlineStr">
        <is>
          <t>DNC-024PLATİN 24 PRÇ TİTANİUM SET</t>
        </is>
      </c>
      <c r="C211" s="25" t="inlineStr">
        <is>
          <t>DNC_024</t>
        </is>
      </c>
      <c r="D211" s="27" t="inlineStr">
        <is>
          <t>8683581657935</t>
        </is>
      </c>
      <c r="E211" s="29" t="inlineStr">
        <is>
          <t>Düzeltilecek: KODA BİRDEN FAZLA BARKOD</t>
        </is>
      </c>
    </row>
    <row r="212">
      <c r="A212" s="25" t="n">
        <v>212</v>
      </c>
      <c r="B212" s="25" t="inlineStr">
        <is>
          <t>DNC-024 PLATİN 36 PRÇ GOLD BEYAZ Ç.K.B SET</t>
        </is>
      </c>
      <c r="C212" s="25" t="inlineStr">
        <is>
          <t>DNC_024</t>
        </is>
      </c>
      <c r="D212" s="27" t="inlineStr">
        <is>
          <t>8683581657553</t>
        </is>
      </c>
      <c r="E212" s="29" t="inlineStr">
        <is>
          <t>Düzeltilecek: KODA BİRDEN FAZLA BARKOD</t>
        </is>
      </c>
    </row>
    <row r="213">
      <c r="A213" s="25" t="n">
        <v>213</v>
      </c>
      <c r="B213" s="25" t="inlineStr">
        <is>
          <t>DNC-025 PLATİN 36 PRÇ TİTANİUM Ç.K.B SET</t>
        </is>
      </c>
      <c r="C213" s="25" t="inlineStr">
        <is>
          <t>DNC_025</t>
        </is>
      </c>
      <c r="D213" s="27" t="inlineStr">
        <is>
          <t>8683581657539</t>
        </is>
      </c>
      <c r="E213" s="25" t="inlineStr">
        <is>
          <t>Sorun yok</t>
        </is>
      </c>
    </row>
    <row r="214">
      <c r="A214" s="25" t="n">
        <v>214</v>
      </c>
      <c r="B214" s="25" t="inlineStr">
        <is>
          <t>DNC-026PLATİN 36 PRÇ MAT TİTANİUM SET</t>
        </is>
      </c>
      <c r="C214" s="25" t="inlineStr">
        <is>
          <t>DNC_026</t>
        </is>
      </c>
      <c r="D214" s="27" t="inlineStr">
        <is>
          <t>8683581657942</t>
        </is>
      </c>
      <c r="E214" s="29" t="inlineStr">
        <is>
          <t>Düzeltilecek: ORTAK BARKOD</t>
        </is>
      </c>
    </row>
    <row r="215">
      <c r="A215" s="25" t="n">
        <v>215</v>
      </c>
      <c r="B215" s="25" t="inlineStr">
        <is>
          <t>DNC-027 PLATİN 36 PRÇ GOLD SİYAH Ç.K.B SET</t>
        </is>
      </c>
      <c r="C215" s="25" t="inlineStr">
        <is>
          <t>DNC_027</t>
        </is>
      </c>
      <c r="D215" s="27" t="inlineStr">
        <is>
          <t>8683581657959</t>
        </is>
      </c>
      <c r="E215" s="25" t="inlineStr">
        <is>
          <t>Sorun yok</t>
        </is>
      </c>
    </row>
    <row r="216">
      <c r="A216" s="25" t="n">
        <v>216</v>
      </c>
      <c r="B216" s="25" t="inlineStr">
        <is>
          <t>DNC-029 PLATİN 6,LI NESTCAFE KAŞIK TİTANİUM</t>
        </is>
      </c>
      <c r="C216" s="25" t="inlineStr">
        <is>
          <t>DNC_029</t>
        </is>
      </c>
      <c r="D216" s="27" t="inlineStr">
        <is>
          <t>8683581657560</t>
        </is>
      </c>
      <c r="E216" s="25" t="inlineStr">
        <is>
          <t>Sorun yok</t>
        </is>
      </c>
    </row>
    <row r="217">
      <c r="A217" s="25" t="n">
        <v>217</v>
      </c>
      <c r="B217" s="25" t="inlineStr">
        <is>
          <t>DNC-030 PLATİN 5 PRÇ SERVİS SET TİTANİUM</t>
        </is>
      </c>
      <c r="C217" s="25" t="inlineStr">
        <is>
          <t>DNC_030</t>
        </is>
      </c>
      <c r="D217" s="27" t="inlineStr">
        <is>
          <t>8683581657645</t>
        </is>
      </c>
      <c r="E217" s="25" t="inlineStr">
        <is>
          <t>Sorun yok</t>
        </is>
      </c>
    </row>
    <row r="218">
      <c r="A218" s="25" t="n">
        <v>218</v>
      </c>
      <c r="B218" s="25" t="inlineStr">
        <is>
          <t>DNC-031 PLATİN 5 PRÇ GOLD SERVİS SET</t>
        </is>
      </c>
      <c r="C218" s="25" t="inlineStr">
        <is>
          <t>DNC_031</t>
        </is>
      </c>
      <c r="D218" s="27" t="inlineStr">
        <is>
          <t>8683581657669</t>
        </is>
      </c>
      <c r="E218" s="25" t="inlineStr">
        <is>
          <t>Sorun yok</t>
        </is>
      </c>
    </row>
    <row r="219">
      <c r="A219" s="25" t="n">
        <v>219</v>
      </c>
      <c r="B219" s="25" t="inlineStr">
        <is>
          <t>DNC-033 PLATİN 5 PRÇ GOLD BEYAZ SET</t>
        </is>
      </c>
      <c r="C219" s="25" t="inlineStr">
        <is>
          <t>DNC_033</t>
        </is>
      </c>
      <c r="D219" s="27" t="inlineStr">
        <is>
          <t>8683581657621</t>
        </is>
      </c>
      <c r="E219" s="25" t="inlineStr">
        <is>
          <t>Sorun yok</t>
        </is>
      </c>
    </row>
    <row r="220">
      <c r="A220" s="25" t="n">
        <v>220</v>
      </c>
      <c r="B220" s="25" t="inlineStr">
        <is>
          <t>DNC-035 PLATİN 5 PRÇ GOLD SİYAH SET</t>
        </is>
      </c>
      <c r="C220" s="25" t="inlineStr">
        <is>
          <t>DNC_035</t>
        </is>
      </c>
      <c r="D220" s="27" t="inlineStr">
        <is>
          <t>8683581657652</t>
        </is>
      </c>
      <c r="E220" s="25" t="inlineStr">
        <is>
          <t>Sorun yok</t>
        </is>
      </c>
    </row>
    <row r="221">
      <c r="A221" s="25" t="n">
        <v>221</v>
      </c>
      <c r="B221" s="25" t="inlineStr">
        <is>
          <t>DNC-088 PLATİN 84 PRÇ ÇKB SET</t>
        </is>
      </c>
      <c r="C221" s="25" t="inlineStr">
        <is>
          <t>DNC_088</t>
        </is>
      </c>
      <c r="D221" s="27" t="inlineStr">
        <is>
          <t>8683581657508</t>
        </is>
      </c>
      <c r="E221" s="25" t="inlineStr">
        <is>
          <t>Sorun yok</t>
        </is>
      </c>
    </row>
    <row r="222">
      <c r="A222" s="25" t="n">
        <v>222</v>
      </c>
      <c r="B222" s="25" t="inlineStr">
        <is>
          <t>DNC-089 6'LI PLATİN YEMEK KAŞIK</t>
        </is>
      </c>
      <c r="C222" s="25" t="inlineStr">
        <is>
          <t>DNC_089</t>
        </is>
      </c>
      <c r="D222" s="27" t="inlineStr">
        <is>
          <t>8683613550005</t>
        </is>
      </c>
      <c r="E222" s="29" t="inlineStr">
        <is>
          <t>Düzeltilecek: ORTAK BARKOD</t>
        </is>
      </c>
    </row>
    <row r="223">
      <c r="A223" s="25" t="n">
        <v>223</v>
      </c>
      <c r="B223" s="25" t="inlineStr">
        <is>
          <t>DNC-090 6,LI PLATİN YEMEK ÇATAL</t>
        </is>
      </c>
      <c r="C223" s="25" t="inlineStr">
        <is>
          <t>DNC_090</t>
        </is>
      </c>
      <c r="D223" s="27" t="inlineStr">
        <is>
          <t>8683613550012</t>
        </is>
      </c>
      <c r="E223" s="29" t="inlineStr">
        <is>
          <t>Düzeltilecek: ORTAK BARKOD</t>
        </is>
      </c>
    </row>
    <row r="224">
      <c r="A224" s="25" t="n">
        <v>224</v>
      </c>
      <c r="B224" s="25" t="inlineStr">
        <is>
          <t>DNC-091 6'LI PLATİN TATLI ÇATAL</t>
        </is>
      </c>
      <c r="C224" s="25" t="inlineStr">
        <is>
          <t>DNC_091</t>
        </is>
      </c>
      <c r="D224" s="27" t="inlineStr">
        <is>
          <t>8683613550043</t>
        </is>
      </c>
      <c r="E224" s="25" t="inlineStr">
        <is>
          <t>Sorun yok</t>
        </is>
      </c>
    </row>
    <row r="225">
      <c r="A225" s="25" t="n">
        <v>225</v>
      </c>
      <c r="B225" s="25" t="inlineStr">
        <is>
          <t>DNC-092 6,LI PLATİN TATLI KAŞIK</t>
        </is>
      </c>
      <c r="C225" s="25" t="inlineStr">
        <is>
          <t>DNC_092</t>
        </is>
      </c>
      <c r="D225" s="27" t="inlineStr">
        <is>
          <t>8683613550036</t>
        </is>
      </c>
      <c r="E225" s="29" t="inlineStr">
        <is>
          <t>Düzeltilecek: ORTAK BARKOD</t>
        </is>
      </c>
    </row>
    <row r="226">
      <c r="A226" s="25" t="n">
        <v>226</v>
      </c>
      <c r="B226" s="25" t="inlineStr">
        <is>
          <t>DNC-093 6'LI PLATİN ÇAY KAŞIK</t>
        </is>
      </c>
      <c r="C226" s="25" t="inlineStr">
        <is>
          <t>DNC_093</t>
        </is>
      </c>
      <c r="D226" s="27" t="inlineStr">
        <is>
          <t>8683613550067</t>
        </is>
      </c>
      <c r="E226" s="25" t="inlineStr">
        <is>
          <t>Sorun yok</t>
        </is>
      </c>
    </row>
    <row r="227">
      <c r="A227" s="25" t="n">
        <v>227</v>
      </c>
      <c r="B227" s="25" t="inlineStr">
        <is>
          <t>DNC-094 3,LÜ PLATİN YEMEK BIÇAK</t>
        </is>
      </c>
      <c r="C227" s="25" t="inlineStr">
        <is>
          <t>DNC_094</t>
        </is>
      </c>
      <c r="D227" s="27" t="inlineStr">
        <is>
          <t>8683613550029</t>
        </is>
      </c>
      <c r="E227" s="29" t="inlineStr">
        <is>
          <t>Düzeltilecek: ORTAK BARKOD</t>
        </is>
      </c>
    </row>
    <row r="228">
      <c r="A228" s="25" t="n">
        <v>228</v>
      </c>
      <c r="B228" s="25" t="inlineStr">
        <is>
          <t>DNC-095 3'LÜ PLATİN PASTA BIÇAK</t>
        </is>
      </c>
      <c r="C228" s="25" t="inlineStr">
        <is>
          <t>DNC_095</t>
        </is>
      </c>
      <c r="D228" s="27" t="inlineStr">
        <is>
          <t>8683613550050</t>
        </is>
      </c>
      <c r="E228" s="25" t="inlineStr">
        <is>
          <t>Sorun yok</t>
        </is>
      </c>
    </row>
    <row r="229">
      <c r="A229" s="25" t="n">
        <v>229</v>
      </c>
      <c r="B229" s="25" t="inlineStr">
        <is>
          <t>DNC-096 6,LI PLATİN NESCAFE KAŞIK</t>
        </is>
      </c>
      <c r="C229" s="25" t="inlineStr">
        <is>
          <t>DNC_096</t>
        </is>
      </c>
      <c r="D229" s="27" t="inlineStr">
        <is>
          <t>8683613550074</t>
        </is>
      </c>
      <c r="E229" s="25" t="inlineStr">
        <is>
          <t>Sorun yok</t>
        </is>
      </c>
    </row>
    <row r="230">
      <c r="A230" s="25" t="n">
        <v>230</v>
      </c>
      <c r="B230" s="25" t="inlineStr">
        <is>
          <t>DNC-097 PLATİN 6,LI DONDURMA KAŞIK</t>
        </is>
      </c>
      <c r="C230" s="25" t="inlineStr">
        <is>
          <t>DNC_097</t>
        </is>
      </c>
      <c r="D230" s="27" t="inlineStr">
        <is>
          <t>8683613550081</t>
        </is>
      </c>
      <c r="E230" s="25" t="inlineStr">
        <is>
          <t>Sorun yok</t>
        </is>
      </c>
    </row>
    <row r="231">
      <c r="A231" s="25" t="n">
        <v>231</v>
      </c>
      <c r="B231" s="25" t="inlineStr">
        <is>
          <t>DNC-124 PLATİN 36 PRÇ GOLD(ALTIN) SET</t>
        </is>
      </c>
      <c r="C231" s="25" t="inlineStr">
        <is>
          <t>DNC_124</t>
        </is>
      </c>
      <c r="D231" s="27" t="inlineStr">
        <is>
          <t>8683581657522</t>
        </is>
      </c>
      <c r="E231" s="25" t="inlineStr">
        <is>
          <t>Sorun yok</t>
        </is>
      </c>
    </row>
    <row r="232">
      <c r="A232" s="25" t="n">
        <v>232</v>
      </c>
      <c r="B232" s="25" t="inlineStr">
        <is>
          <t>DNC-125 1 DZ PLATİN GOLD ÇAY KAŞIK</t>
        </is>
      </c>
      <c r="C232" s="25" t="inlineStr">
        <is>
          <t>DNC_125</t>
        </is>
      </c>
      <c r="D232" s="27" t="inlineStr">
        <is>
          <t>8683613550357</t>
        </is>
      </c>
      <c r="E232" s="25" t="inlineStr">
        <is>
          <t>Sorun yok</t>
        </is>
      </c>
    </row>
    <row r="233">
      <c r="A233" s="25" t="n">
        <v>233</v>
      </c>
      <c r="B233" s="25" t="inlineStr">
        <is>
          <t>DNC-128 PLATİN 72 PRÇ Ç.K.B TİTANİUM SET</t>
        </is>
      </c>
      <c r="C233" s="25" t="inlineStr">
        <is>
          <t>DNC_128</t>
        </is>
      </c>
      <c r="D233" s="27" t="inlineStr">
        <is>
          <t>8683613550388</t>
        </is>
      </c>
      <c r="E233" s="25" t="inlineStr">
        <is>
          <t>Sorun yok</t>
        </is>
      </c>
    </row>
    <row r="234">
      <c r="A234" s="25" t="n">
        <v>234</v>
      </c>
      <c r="B234" s="25" t="inlineStr">
        <is>
          <t>DNC-137 PLATİN 89 PRÇ TİTANİUM SET</t>
        </is>
      </c>
      <c r="C234" s="25" t="inlineStr">
        <is>
          <t>DNC_137</t>
        </is>
      </c>
      <c r="D234" s="27" t="inlineStr">
        <is>
          <t>8683613550470</t>
        </is>
      </c>
      <c r="E234" s="25" t="inlineStr">
        <is>
          <t>Sorun yok</t>
        </is>
      </c>
    </row>
    <row r="235">
      <c r="A235" s="25" t="n">
        <v>235</v>
      </c>
      <c r="B235" s="25" t="inlineStr">
        <is>
          <t>DNC-155 6,LI TİTANİUM DONDURMA KAŞIK</t>
        </is>
      </c>
      <c r="C235" s="25" t="inlineStr">
        <is>
          <t>DNC_155</t>
        </is>
      </c>
      <c r="D235" s="27" t="inlineStr">
        <is>
          <t>8683613550784</t>
        </is>
      </c>
      <c r="E235" s="29" t="inlineStr">
        <is>
          <t>Düzeltilecek: ORTAK BARKOD</t>
        </is>
      </c>
    </row>
    <row r="236">
      <c r="A236" s="25" t="n">
        <v>236</v>
      </c>
      <c r="B236" s="25" t="inlineStr">
        <is>
          <t>DNC-032 PLATİN MAT TİTANİUM SEERVİS SET</t>
        </is>
      </c>
      <c r="C236" s="25" t="inlineStr">
        <is>
          <t>DNC_032</t>
        </is>
      </c>
      <c r="D236" s="27" t="inlineStr">
        <is>
          <t>8683613550647</t>
        </is>
      </c>
      <c r="E236" s="25" t="inlineStr">
        <is>
          <t>Sorun yok</t>
        </is>
      </c>
    </row>
    <row r="237">
      <c r="A237" s="25" t="n">
        <v>237</v>
      </c>
      <c r="B237" s="25" t="inlineStr">
        <is>
          <t>DNC_147 PLATİN SERVİS KEPÇE TİTANİUM</t>
        </is>
      </c>
      <c r="C237" s="25" t="inlineStr">
        <is>
          <t>DNC_147</t>
        </is>
      </c>
      <c r="D237" s="27" t="inlineStr">
        <is>
          <t>8683613550586</t>
        </is>
      </c>
      <c r="E237" s="25" t="inlineStr">
        <is>
          <t>Sorun yok</t>
        </is>
      </c>
    </row>
    <row r="238">
      <c r="A238" s="25" t="n">
        <v>238</v>
      </c>
      <c r="B238" s="25" t="inlineStr">
        <is>
          <t>DNC_148 NESTCAFE KAŞIK SİYAH TİTANİUM 6,LI</t>
        </is>
      </c>
      <c r="C238" s="25" t="inlineStr">
        <is>
          <t>DNC_148</t>
        </is>
      </c>
      <c r="D238" s="27" t="inlineStr">
        <is>
          <t>8683613550319</t>
        </is>
      </c>
      <c r="E238" s="25" t="inlineStr">
        <is>
          <t>Sorun yok</t>
        </is>
      </c>
    </row>
    <row r="239">
      <c r="A239" s="25" t="n">
        <v>239</v>
      </c>
      <c r="B239" s="25" t="inlineStr">
        <is>
          <t>DNC_149 PLATİN SERVİS KEVGİR TİTANİUM</t>
        </is>
      </c>
      <c r="C239" s="25" t="inlineStr">
        <is>
          <t>DNC_149</t>
        </is>
      </c>
      <c r="D239" s="27" t="inlineStr">
        <is>
          <t>8683613550562</t>
        </is>
      </c>
      <c r="E239" s="25" t="inlineStr">
        <is>
          <t>Sorun yok</t>
        </is>
      </c>
    </row>
    <row r="240">
      <c r="A240" s="25" t="n">
        <v>240</v>
      </c>
      <c r="B240" s="25" t="inlineStr">
        <is>
          <t>DNC_157 PLATİN SERVİS KAŞIK TİTANİUM</t>
        </is>
      </c>
      <c r="C240" s="25" t="inlineStr">
        <is>
          <t>DNC_157</t>
        </is>
      </c>
      <c r="D240" s="27" t="inlineStr">
        <is>
          <t>8683613550609</t>
        </is>
      </c>
      <c r="E240" s="25" t="inlineStr">
        <is>
          <t>Sorun yok</t>
        </is>
      </c>
    </row>
    <row r="241">
      <c r="A241" s="25" t="n">
        <v>241</v>
      </c>
      <c r="B241" s="25" t="inlineStr">
        <is>
          <t>DNC_158 PLATİN SERVİS SPATULA TİTANİUM</t>
        </is>
      </c>
      <c r="C241" s="25" t="inlineStr">
        <is>
          <t>DNC_158</t>
        </is>
      </c>
      <c r="D241" s="27" t="inlineStr">
        <is>
          <t>8683613550579</t>
        </is>
      </c>
      <c r="E241" s="25" t="inlineStr">
        <is>
          <t>Sorun yok</t>
        </is>
      </c>
    </row>
    <row r="242">
      <c r="A242" s="25" t="n">
        <v>242</v>
      </c>
      <c r="B242" s="25" t="inlineStr">
        <is>
          <t>DNC_159 PLATİN SERVİS ÇATAL TİTANİUM</t>
        </is>
      </c>
      <c r="C242" s="25" t="inlineStr">
        <is>
          <t>DNC_159</t>
        </is>
      </c>
      <c r="D242" s="27" t="inlineStr">
        <is>
          <t>8683613550555</t>
        </is>
      </c>
      <c r="E242" s="25" t="inlineStr">
        <is>
          <t>Sorun yok</t>
        </is>
      </c>
    </row>
    <row r="243">
      <c r="A243" s="25" t="n">
        <v>243</v>
      </c>
      <c r="B243" s="25" t="inlineStr">
        <is>
          <t>DNC_186 PLATİN YEMEK KAŞIK TİTANİUM 6,LI</t>
        </is>
      </c>
      <c r="C243" s="25" t="inlineStr">
        <is>
          <t>DNC_186</t>
        </is>
      </c>
      <c r="D243" s="27" t="inlineStr">
        <is>
          <t>8683613550821</t>
        </is>
      </c>
      <c r="E243" s="25" t="inlineStr">
        <is>
          <t>Sorun yok</t>
        </is>
      </c>
    </row>
    <row r="244">
      <c r="A244" s="25" t="n">
        <v>244</v>
      </c>
      <c r="B244" s="25" t="inlineStr">
        <is>
          <t>DNC_187 PLATİN YEMEK ÇATAL TİTANİUM 6,LI</t>
        </is>
      </c>
      <c r="C244" s="25" t="inlineStr">
        <is>
          <t>DNC_187</t>
        </is>
      </c>
      <c r="D244" s="27" t="inlineStr">
        <is>
          <t>8683613550838</t>
        </is>
      </c>
      <c r="E244" s="25" t="inlineStr">
        <is>
          <t>Sorun yok</t>
        </is>
      </c>
    </row>
    <row r="245">
      <c r="A245" s="25" t="n">
        <v>245</v>
      </c>
      <c r="B245" s="25" t="inlineStr">
        <is>
          <t>DNC_188 PLATİN TATLI KAŞIK TİTANİUM 6,LI</t>
        </is>
      </c>
      <c r="C245" s="25" t="inlineStr">
        <is>
          <t>DNC_188</t>
        </is>
      </c>
      <c r="D245" s="27" t="inlineStr">
        <is>
          <t>8683613550845</t>
        </is>
      </c>
      <c r="E245" s="25" t="inlineStr">
        <is>
          <t>Sorun yok</t>
        </is>
      </c>
    </row>
    <row r="246">
      <c r="A246" s="25" t="n">
        <v>246</v>
      </c>
      <c r="B246" s="25" t="inlineStr">
        <is>
          <t>DNC_189 PLATİN TATLI ÇATAL TİTANİUM 6,LI</t>
        </is>
      </c>
      <c r="C246" s="25" t="inlineStr">
        <is>
          <t>DNC_189</t>
        </is>
      </c>
      <c r="D246" s="27" t="inlineStr">
        <is>
          <t>8683613550852</t>
        </is>
      </c>
      <c r="E246" s="25" t="inlineStr">
        <is>
          <t>Sorun yok</t>
        </is>
      </c>
    </row>
    <row r="247">
      <c r="A247" s="25" t="n">
        <v>247</v>
      </c>
      <c r="B247" s="25" t="inlineStr">
        <is>
          <t>DNC_190 PLATİN ÇAY KAŞIK TİTANİUM 6,LI</t>
        </is>
      </c>
      <c r="C247" s="25" t="inlineStr">
        <is>
          <t>DNC_190</t>
        </is>
      </c>
      <c r="D247" s="27" t="inlineStr">
        <is>
          <t>8683613550869</t>
        </is>
      </c>
      <c r="E247" s="25" t="inlineStr">
        <is>
          <t>Sorun yok</t>
        </is>
      </c>
    </row>
    <row r="248">
      <c r="A248" s="25" t="n">
        <v>248</v>
      </c>
      <c r="B248" s="25" t="inlineStr">
        <is>
          <t>DNC_191 PLATİN YEMEK BIÇAK TİTANİUM 3,LÜ</t>
        </is>
      </c>
      <c r="C248" s="25" t="inlineStr">
        <is>
          <t>DNC_191</t>
        </is>
      </c>
      <c r="D248" s="27" t="inlineStr">
        <is>
          <t>8683613550876</t>
        </is>
      </c>
      <c r="E248" s="25" t="inlineStr">
        <is>
          <t>Sorun yok</t>
        </is>
      </c>
    </row>
    <row r="249">
      <c r="A249" s="25" t="n">
        <v>249</v>
      </c>
      <c r="B249" s="25" t="inlineStr">
        <is>
          <t>DNC_192 PLATİN PASTA BIÇAK TİTANİUM 3,LÜ</t>
        </is>
      </c>
      <c r="C249" s="25" t="inlineStr">
        <is>
          <t>DNC_192</t>
        </is>
      </c>
      <c r="D249" s="27" t="inlineStr">
        <is>
          <t>8683613550883</t>
        </is>
      </c>
      <c r="E249" s="25" t="inlineStr">
        <is>
          <t>Sorun yok</t>
        </is>
      </c>
    </row>
    <row r="250">
      <c r="A250" s="25" t="n">
        <v>250</v>
      </c>
      <c r="B250" s="25" t="inlineStr">
        <is>
          <t>ŞAHANE HOME 36 PRÇ TİTANİUM Ç.K.B SET</t>
        </is>
      </c>
      <c r="C250" s="25" t="inlineStr">
        <is>
          <t>(boş)</t>
        </is>
      </c>
      <c r="D250" s="27" t="inlineStr">
        <is>
          <t>8683613550661</t>
        </is>
      </c>
      <c r="E250" s="29" t="inlineStr">
        <is>
          <t>Düzeltilecek: ORTAK BARKOD, ÜRÜN KODU YOK</t>
        </is>
      </c>
    </row>
    <row r="251">
      <c r="A251" s="25" t="n">
        <v>251</v>
      </c>
      <c r="B251" s="25" t="inlineStr">
        <is>
          <t>nusse çay kaşık</t>
        </is>
      </c>
      <c r="C251" s="25" t="inlineStr">
        <is>
          <t>(boş)</t>
        </is>
      </c>
      <c r="D251" s="27" t="inlineStr">
        <is>
          <t>8680793049732</t>
        </is>
      </c>
      <c r="E251" s="31" t="inlineStr">
        <is>
          <t>Düzeltilecek: ÜRÜN KODU YOK, FARKLI FİRMA ÖNEKİ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2026-10-04T02:24:13Z</dcterms:created>
  <dcterms:modified xsi:type="dcterms:W3CDTF">2026-10-04T02:24:13Z</dcterms:modified>
</cp:coreProperties>
</file>